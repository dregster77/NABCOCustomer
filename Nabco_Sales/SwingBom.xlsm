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abco-dw01\ProductConfigurator\Documents\"/>
    </mc:Choice>
  </mc:AlternateContent>
  <xr:revisionPtr revIDLastSave="0" documentId="13_ncr:1_{98B87DED-B792-411B-A1DA-13C949B83067}" xr6:coauthVersionLast="41" xr6:coauthVersionMax="41" xr10:uidLastSave="{00000000-0000-0000-0000-000000000000}"/>
  <bookViews>
    <workbookView xWindow="-120" yWindow="-120" windowWidth="29040" windowHeight="15840" xr2:uid="{32802BD2-D8E0-4172-A926-F1C424DB7893}"/>
  </bookViews>
  <sheets>
    <sheet name="Inputs" sheetId="2" r:id="rId1"/>
    <sheet name="Lookup Tables" sheetId="6" r:id="rId2"/>
    <sheet name="Extrusion Colors" sheetId="5" r:id="rId3"/>
    <sheet name="Logic Table" sheetId="1" r:id="rId4"/>
    <sheet name="BOM" sheetId="3" r:id="rId5"/>
  </sheets>
  <functionGroups builtInGroupCount="19"/>
  <definedNames>
    <definedName name="_xlnm._FilterDatabase" localSheetId="4" hidden="1">BOM!$A$1:$D$1</definedName>
    <definedName name="_xlnm._FilterDatabase" localSheetId="2" hidden="1">'Extrusion Colors'!$A$1:$I$1</definedName>
    <definedName name="_xlnm._FilterDatabase" localSheetId="3" hidden="1">'Logic Table'!$A$1:$AZ$1</definedName>
    <definedName name="Application">Inputs!$B$10</definedName>
    <definedName name="BOMNeeded">'Lookup Tables'!$B$12</definedName>
    <definedName name="CenterDivider">Inputs!$B$19</definedName>
    <definedName name="CUvsOHC">'Lookup Tables'!$B$6</definedName>
    <definedName name="DistributorName">Inputs!$B$8</definedName>
    <definedName name="EntryDate">Inputs!$B$25</definedName>
    <definedName name="FertNumber">Inputs!$B$4</definedName>
    <definedName name="FingerGuard">'Lookup Tables'!$B$5</definedName>
    <definedName name="Finish">Inputs!$B$14</definedName>
    <definedName name="FinishCode">'Lookup Tables'!$B$3</definedName>
    <definedName name="HeaderLength">Inputs!$B$20</definedName>
    <definedName name="ItemNumber">Inputs!$B$3</definedName>
    <definedName name="JobName">Inputs!$B$7</definedName>
    <definedName name="LHDoorOpening">Inputs!$B$15</definedName>
    <definedName name="LHHand">'Lookup Tables'!$B$9</definedName>
    <definedName name="LHINvsOUT">'Lookup Tables'!$B$7</definedName>
    <definedName name="LHOverlap">Inputs!$B$17</definedName>
    <definedName name="LHPanel">Inputs!$B$11</definedName>
    <definedName name="LHReveal">Inputs!$B$22</definedName>
    <definedName name="Model">Inputs!$B$9</definedName>
    <definedName name="MtgBracket">Inputs!$B$24</definedName>
    <definedName name="Operator">'Lookup Tables'!$B$4</definedName>
    <definedName name="Panic">Inputs!$B$13</definedName>
    <definedName name="Pivot">Inputs!$B$21</definedName>
    <definedName name="QuantityOfUnits">Inputs!$B$5</definedName>
    <definedName name="RHDoorOpening">Inputs!$B$16</definedName>
    <definedName name="RHHand">'Lookup Tables'!$B$10</definedName>
    <definedName name="RHINvsOUT">'Lookup Tables'!$B$8</definedName>
    <definedName name="RHOverlap">Inputs!$B$18</definedName>
    <definedName name="RHPanel">Inputs!$B$12</definedName>
    <definedName name="RHReveal">Inputs!$B$23</definedName>
    <definedName name="SalesOrderNumber">Inputs!$B$2</definedName>
    <definedName name="SidevsBottom">'Lookup Tables'!$B$2</definedName>
    <definedName name="StackedBoards">'Lookup Tables'!$B$11</definedName>
    <definedName name="UnitIdentification">Inputs!$B$6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81" i="6" l="1"/>
  <c r="X81" i="6"/>
  <c r="W81" i="6"/>
  <c r="V81" i="6"/>
  <c r="Y80" i="6"/>
  <c r="X80" i="6"/>
  <c r="W80" i="6"/>
  <c r="V80" i="6"/>
  <c r="Y79" i="6"/>
  <c r="X79" i="6"/>
  <c r="W79" i="6"/>
  <c r="V79" i="6"/>
  <c r="Y78" i="6"/>
  <c r="X78" i="6"/>
  <c r="W78" i="6"/>
  <c r="V78" i="6"/>
  <c r="Y77" i="6"/>
  <c r="X77" i="6"/>
  <c r="W77" i="6"/>
  <c r="V77" i="6"/>
  <c r="Y76" i="6"/>
  <c r="X76" i="6"/>
  <c r="W76" i="6"/>
  <c r="V76" i="6"/>
  <c r="Y75" i="6"/>
  <c r="X75" i="6"/>
  <c r="W75" i="6"/>
  <c r="V75" i="6"/>
  <c r="Y74" i="6"/>
  <c r="X74" i="6"/>
  <c r="W74" i="6"/>
  <c r="V74" i="6"/>
  <c r="Y73" i="6"/>
  <c r="X73" i="6"/>
  <c r="W73" i="6"/>
  <c r="V73" i="6"/>
  <c r="Y72" i="6"/>
  <c r="X72" i="6"/>
  <c r="W72" i="6"/>
  <c r="V72" i="6"/>
  <c r="Y71" i="6"/>
  <c r="X71" i="6"/>
  <c r="W71" i="6"/>
  <c r="V71" i="6"/>
  <c r="Y70" i="6"/>
  <c r="X70" i="6"/>
  <c r="W70" i="6"/>
  <c r="V70" i="6"/>
  <c r="Y69" i="6"/>
  <c r="X69" i="6"/>
  <c r="W69" i="6"/>
  <c r="V69" i="6"/>
  <c r="Y68" i="6"/>
  <c r="X68" i="6"/>
  <c r="W68" i="6"/>
  <c r="V68" i="6"/>
  <c r="Y67" i="6"/>
  <c r="X67" i="6"/>
  <c r="W67" i="6"/>
  <c r="V67" i="6"/>
  <c r="Y66" i="6"/>
  <c r="X66" i="6"/>
  <c r="W66" i="6"/>
  <c r="V66" i="6"/>
  <c r="Y65" i="6"/>
  <c r="X65" i="6"/>
  <c r="W65" i="6"/>
  <c r="V65" i="6"/>
  <c r="Y64" i="6"/>
  <c r="X64" i="6"/>
  <c r="W64" i="6"/>
  <c r="V64" i="6"/>
  <c r="Y63" i="6"/>
  <c r="X63" i="6"/>
  <c r="W63" i="6"/>
  <c r="V63" i="6"/>
  <c r="Y62" i="6"/>
  <c r="X62" i="6"/>
  <c r="W62" i="6"/>
  <c r="V62" i="6"/>
  <c r="Y61" i="6"/>
  <c r="X61" i="6"/>
  <c r="W61" i="6"/>
  <c r="V61" i="6"/>
  <c r="Y60" i="6"/>
  <c r="X60" i="6"/>
  <c r="W60" i="6"/>
  <c r="V60" i="6"/>
  <c r="Y59" i="6"/>
  <c r="X59" i="6"/>
  <c r="W59" i="6"/>
  <c r="V59" i="6"/>
  <c r="Y58" i="6"/>
  <c r="X58" i="6"/>
  <c r="W58" i="6"/>
  <c r="V58" i="6"/>
  <c r="Y57" i="6"/>
  <c r="X57" i="6"/>
  <c r="X105" i="6" s="1"/>
  <c r="Y55" i="6"/>
  <c r="X55" i="6"/>
  <c r="X103" i="6" s="1"/>
  <c r="Y53" i="6"/>
  <c r="X53" i="6"/>
  <c r="X101" i="6" s="1"/>
  <c r="Y51" i="6"/>
  <c r="X51" i="6"/>
  <c r="X99" i="6" s="1"/>
  <c r="Y33" i="6"/>
  <c r="Y89" i="6" s="1"/>
  <c r="X33" i="6"/>
  <c r="X89" i="6" s="1"/>
  <c r="Y31" i="6"/>
  <c r="Y87" i="6" s="1"/>
  <c r="X31" i="6"/>
  <c r="Y29" i="6"/>
  <c r="X29" i="6"/>
  <c r="X85" i="6" s="1"/>
  <c r="Y27" i="6"/>
  <c r="Y83" i="6" s="1"/>
  <c r="X27" i="6"/>
  <c r="X83" i="6" s="1"/>
  <c r="Y101" i="6"/>
  <c r="Y41" i="6"/>
  <c r="Y97" i="6" s="1"/>
  <c r="X41" i="6"/>
  <c r="X97" i="6" s="1"/>
  <c r="Y39" i="6"/>
  <c r="X39" i="6"/>
  <c r="Y37" i="6"/>
  <c r="Y93" i="6" s="1"/>
  <c r="X37" i="6"/>
  <c r="X93" i="6" s="1"/>
  <c r="Y35" i="6"/>
  <c r="Y91" i="6" s="1"/>
  <c r="X35" i="6"/>
  <c r="X91" i="6" s="1"/>
  <c r="Y103" i="6"/>
  <c r="Y95" i="6"/>
  <c r="Y105" i="6"/>
  <c r="Y99" i="6"/>
  <c r="X95" i="6"/>
  <c r="X87" i="6"/>
  <c r="Y85" i="6"/>
  <c r="Y25" i="6"/>
  <c r="X25" i="6"/>
  <c r="Y24" i="6"/>
  <c r="X24" i="6"/>
  <c r="Y23" i="6"/>
  <c r="X23" i="6"/>
  <c r="Y22" i="6"/>
  <c r="X22" i="6"/>
  <c r="Y21" i="6"/>
  <c r="X21" i="6"/>
  <c r="Y20" i="6"/>
  <c r="X20" i="6"/>
  <c r="Y19" i="6"/>
  <c r="X19" i="6"/>
  <c r="Y18" i="6"/>
  <c r="X18" i="6"/>
  <c r="B25" i="2"/>
  <c r="X43" i="6" l="1"/>
  <c r="X47" i="6"/>
  <c r="Y43" i="6"/>
  <c r="Y47" i="6"/>
  <c r="X45" i="6"/>
  <c r="X49" i="6"/>
  <c r="Y45" i="6"/>
  <c r="Y49" i="6"/>
  <c r="F41" i="1"/>
  <c r="F42" i="1"/>
  <c r="F40" i="1"/>
  <c r="F38" i="1" l="1"/>
  <c r="F35" i="1"/>
  <c r="Q37" i="1"/>
  <c r="M37" i="1"/>
  <c r="F11" i="1"/>
  <c r="F10" i="1"/>
  <c r="B3" i="6" l="1"/>
  <c r="AR16" i="1" s="1"/>
  <c r="AR64" i="1"/>
  <c r="AQ64" i="1"/>
  <c r="AN64" i="1"/>
  <c r="AM64" i="1"/>
  <c r="AI61" i="1"/>
  <c r="AH61" i="1"/>
  <c r="AE61" i="1"/>
  <c r="AD61" i="1"/>
  <c r="S64" i="1"/>
  <c r="S61" i="1"/>
  <c r="R30" i="6"/>
  <c r="R86" i="6" s="1"/>
  <c r="Q30" i="6"/>
  <c r="Q86" i="6" s="1"/>
  <c r="R28" i="6"/>
  <c r="R84" i="6" s="1"/>
  <c r="Q28" i="6"/>
  <c r="Q84" i="6" s="1"/>
  <c r="U97" i="6"/>
  <c r="T97" i="6"/>
  <c r="S97" i="6"/>
  <c r="R97" i="6"/>
  <c r="Q97" i="6"/>
  <c r="P97" i="6"/>
  <c r="O97" i="6"/>
  <c r="N97" i="6"/>
  <c r="M97" i="6"/>
  <c r="L97" i="6"/>
  <c r="K97" i="6"/>
  <c r="J97" i="6"/>
  <c r="S96" i="6"/>
  <c r="R96" i="6"/>
  <c r="Q96" i="6"/>
  <c r="P96" i="6"/>
  <c r="O96" i="6"/>
  <c r="N96" i="6"/>
  <c r="M96" i="6"/>
  <c r="L96" i="6"/>
  <c r="K96" i="6"/>
  <c r="J96" i="6"/>
  <c r="U95" i="6"/>
  <c r="T95" i="6"/>
  <c r="S95" i="6"/>
  <c r="R95" i="6"/>
  <c r="Q95" i="6"/>
  <c r="P95" i="6"/>
  <c r="O95" i="6"/>
  <c r="N95" i="6"/>
  <c r="M95" i="6"/>
  <c r="L95" i="6"/>
  <c r="K95" i="6"/>
  <c r="J95" i="6"/>
  <c r="S94" i="6"/>
  <c r="P94" i="6"/>
  <c r="O94" i="6"/>
  <c r="N94" i="6"/>
  <c r="M94" i="6"/>
  <c r="L94" i="6"/>
  <c r="K94" i="6"/>
  <c r="J94" i="6"/>
  <c r="U93" i="6"/>
  <c r="T93" i="6"/>
  <c r="S93" i="6"/>
  <c r="R93" i="6"/>
  <c r="Q93" i="6"/>
  <c r="P93" i="6"/>
  <c r="O93" i="6"/>
  <c r="N93" i="6"/>
  <c r="M93" i="6"/>
  <c r="L93" i="6"/>
  <c r="K93" i="6"/>
  <c r="J93" i="6"/>
  <c r="S92" i="6"/>
  <c r="P92" i="6"/>
  <c r="O92" i="6"/>
  <c r="N92" i="6"/>
  <c r="M92" i="6"/>
  <c r="L92" i="6"/>
  <c r="K92" i="6"/>
  <c r="J92" i="6"/>
  <c r="U91" i="6"/>
  <c r="T91" i="6"/>
  <c r="S91" i="6"/>
  <c r="R91" i="6"/>
  <c r="Q91" i="6"/>
  <c r="P91" i="6"/>
  <c r="O91" i="6"/>
  <c r="N91" i="6"/>
  <c r="M91" i="6"/>
  <c r="L91" i="6"/>
  <c r="K91" i="6"/>
  <c r="J91" i="6"/>
  <c r="S90" i="6"/>
  <c r="R90" i="6"/>
  <c r="Q90" i="6"/>
  <c r="P90" i="6"/>
  <c r="O90" i="6"/>
  <c r="N90" i="6"/>
  <c r="M90" i="6"/>
  <c r="L90" i="6"/>
  <c r="K90" i="6"/>
  <c r="J90" i="6"/>
  <c r="U89" i="6"/>
  <c r="T89" i="6"/>
  <c r="S89" i="6"/>
  <c r="R89" i="6"/>
  <c r="Q89" i="6"/>
  <c r="P89" i="6"/>
  <c r="O89" i="6"/>
  <c r="N89" i="6"/>
  <c r="M89" i="6"/>
  <c r="L89" i="6"/>
  <c r="K89" i="6"/>
  <c r="J89" i="6"/>
  <c r="S88" i="6"/>
  <c r="R88" i="6"/>
  <c r="Q88" i="6"/>
  <c r="P88" i="6"/>
  <c r="O88" i="6"/>
  <c r="N88" i="6"/>
  <c r="M88" i="6"/>
  <c r="L88" i="6"/>
  <c r="K88" i="6"/>
  <c r="J88" i="6"/>
  <c r="U87" i="6"/>
  <c r="T87" i="6"/>
  <c r="S87" i="6"/>
  <c r="R87" i="6"/>
  <c r="Q87" i="6"/>
  <c r="P87" i="6"/>
  <c r="O87" i="6"/>
  <c r="N87" i="6"/>
  <c r="M87" i="6"/>
  <c r="L87" i="6"/>
  <c r="K87" i="6"/>
  <c r="J87" i="6"/>
  <c r="S86" i="6"/>
  <c r="P86" i="6"/>
  <c r="O86" i="6"/>
  <c r="N86" i="6"/>
  <c r="M86" i="6"/>
  <c r="L86" i="6"/>
  <c r="K86" i="6"/>
  <c r="J86" i="6"/>
  <c r="U85" i="6"/>
  <c r="T85" i="6"/>
  <c r="S85" i="6"/>
  <c r="R85" i="6"/>
  <c r="Q85" i="6"/>
  <c r="P85" i="6"/>
  <c r="O85" i="6"/>
  <c r="N85" i="6"/>
  <c r="M85" i="6"/>
  <c r="L85" i="6"/>
  <c r="K85" i="6"/>
  <c r="J85" i="6"/>
  <c r="S84" i="6"/>
  <c r="P84" i="6"/>
  <c r="O84" i="6"/>
  <c r="N84" i="6"/>
  <c r="M84" i="6"/>
  <c r="L84" i="6"/>
  <c r="K84" i="6"/>
  <c r="J84" i="6"/>
  <c r="U83" i="6"/>
  <c r="T83" i="6"/>
  <c r="S83" i="6"/>
  <c r="R83" i="6"/>
  <c r="Q83" i="6"/>
  <c r="P83" i="6"/>
  <c r="O83" i="6"/>
  <c r="N83" i="6"/>
  <c r="M83" i="6"/>
  <c r="L83" i="6"/>
  <c r="K83" i="6"/>
  <c r="J83" i="6"/>
  <c r="S82" i="6"/>
  <c r="R82" i="6"/>
  <c r="Q82" i="6"/>
  <c r="P82" i="6"/>
  <c r="O82" i="6"/>
  <c r="N82" i="6"/>
  <c r="M82" i="6"/>
  <c r="L82" i="6"/>
  <c r="K82" i="6"/>
  <c r="J82" i="6"/>
  <c r="R38" i="6"/>
  <c r="R94" i="6" s="1"/>
  <c r="Q38" i="6"/>
  <c r="Q94" i="6" s="1"/>
  <c r="Q36" i="6"/>
  <c r="Q92" i="6" s="1"/>
  <c r="R36" i="6"/>
  <c r="R92" i="6" s="1"/>
  <c r="AA56" i="6"/>
  <c r="AA104" i="6" s="1"/>
  <c r="Z56" i="6"/>
  <c r="Z104" i="6" s="1"/>
  <c r="AA54" i="6"/>
  <c r="AA102" i="6" s="1"/>
  <c r="Z54" i="6"/>
  <c r="Z102" i="6" s="1"/>
  <c r="AA52" i="6"/>
  <c r="AA100" i="6" s="1"/>
  <c r="Z52" i="6"/>
  <c r="Z100" i="6" s="1"/>
  <c r="AA50" i="6"/>
  <c r="AA98" i="6" s="1"/>
  <c r="Z50" i="6"/>
  <c r="Z98" i="6" s="1"/>
  <c r="AA49" i="6"/>
  <c r="Z49" i="6"/>
  <c r="AA47" i="6"/>
  <c r="Z47" i="6"/>
  <c r="AA45" i="6"/>
  <c r="Z45" i="6"/>
  <c r="AA43" i="6"/>
  <c r="Z43" i="6"/>
  <c r="AA41" i="6"/>
  <c r="Z41" i="6"/>
  <c r="Z97" i="6" s="1"/>
  <c r="AA39" i="6"/>
  <c r="AA95" i="6" s="1"/>
  <c r="Z39" i="6"/>
  <c r="Z95" i="6" s="1"/>
  <c r="AA37" i="6"/>
  <c r="AA93" i="6" s="1"/>
  <c r="Z37" i="6"/>
  <c r="Z93" i="6" s="1"/>
  <c r="AA35" i="6"/>
  <c r="AA91" i="6" s="1"/>
  <c r="Z35" i="6"/>
  <c r="Z91" i="6" s="1"/>
  <c r="AA32" i="6"/>
  <c r="AA48" i="6" s="1"/>
  <c r="Z32" i="6"/>
  <c r="Z88" i="6" s="1"/>
  <c r="AA30" i="6"/>
  <c r="AA46" i="6" s="1"/>
  <c r="Z30" i="6"/>
  <c r="Z46" i="6" s="1"/>
  <c r="AA28" i="6"/>
  <c r="AA44" i="6" s="1"/>
  <c r="Z28" i="6"/>
  <c r="Z84" i="6" s="1"/>
  <c r="AA26" i="6"/>
  <c r="AA42" i="6" s="1"/>
  <c r="Z26" i="6"/>
  <c r="Z82" i="6" s="1"/>
  <c r="AA97" i="6"/>
  <c r="AA89" i="6"/>
  <c r="Z89" i="6"/>
  <c r="AA87" i="6"/>
  <c r="Z87" i="6"/>
  <c r="AA85" i="6"/>
  <c r="Z85" i="6"/>
  <c r="AA83" i="6"/>
  <c r="Z83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25" i="6"/>
  <c r="Z25" i="6"/>
  <c r="W25" i="6"/>
  <c r="V25" i="6"/>
  <c r="AA24" i="6"/>
  <c r="Z24" i="6"/>
  <c r="W24" i="6"/>
  <c r="V24" i="6"/>
  <c r="AA23" i="6"/>
  <c r="Z23" i="6"/>
  <c r="W23" i="6"/>
  <c r="V23" i="6"/>
  <c r="AA22" i="6"/>
  <c r="Z22" i="6"/>
  <c r="W22" i="6"/>
  <c r="V22" i="6"/>
  <c r="AA21" i="6"/>
  <c r="Z21" i="6"/>
  <c r="W21" i="6"/>
  <c r="V21" i="6"/>
  <c r="AA20" i="6"/>
  <c r="Z20" i="6"/>
  <c r="W20" i="6"/>
  <c r="V20" i="6"/>
  <c r="AA19" i="6"/>
  <c r="Z19" i="6"/>
  <c r="W19" i="6"/>
  <c r="V19" i="6"/>
  <c r="AA18" i="6"/>
  <c r="Z18" i="6"/>
  <c r="W18" i="6"/>
  <c r="V18" i="6"/>
  <c r="W41" i="6"/>
  <c r="W97" i="6" s="1"/>
  <c r="V41" i="6"/>
  <c r="V97" i="6" s="1"/>
  <c r="W39" i="6"/>
  <c r="W95" i="6" s="1"/>
  <c r="V39" i="6"/>
  <c r="V95" i="6" s="1"/>
  <c r="W37" i="6"/>
  <c r="W93" i="6" s="1"/>
  <c r="V37" i="6"/>
  <c r="V93" i="6" s="1"/>
  <c r="W35" i="6"/>
  <c r="W91" i="6" s="1"/>
  <c r="V35" i="6"/>
  <c r="V91" i="6" s="1"/>
  <c r="AA105" i="6"/>
  <c r="Z105" i="6"/>
  <c r="AA103" i="6"/>
  <c r="Z103" i="6"/>
  <c r="AA101" i="6"/>
  <c r="Z101" i="6"/>
  <c r="AA99" i="6"/>
  <c r="Z99" i="6"/>
  <c r="W57" i="6"/>
  <c r="W105" i="6" s="1"/>
  <c r="V57" i="6"/>
  <c r="V105" i="6" s="1"/>
  <c r="W55" i="6"/>
  <c r="W103" i="6" s="1"/>
  <c r="V55" i="6"/>
  <c r="V103" i="6" s="1"/>
  <c r="W53" i="6"/>
  <c r="W101" i="6" s="1"/>
  <c r="V53" i="6"/>
  <c r="V101" i="6" s="1"/>
  <c r="W51" i="6"/>
  <c r="W99" i="6" s="1"/>
  <c r="V51" i="6"/>
  <c r="V99" i="6" s="1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57" i="6"/>
  <c r="U56" i="6"/>
  <c r="I56" i="6"/>
  <c r="I55" i="6"/>
  <c r="U54" i="6"/>
  <c r="I54" i="6"/>
  <c r="I53" i="6"/>
  <c r="U52" i="6"/>
  <c r="I52" i="6"/>
  <c r="I51" i="6"/>
  <c r="U50" i="6"/>
  <c r="I50" i="6"/>
  <c r="U40" i="6"/>
  <c r="U96" i="6" s="1"/>
  <c r="U38" i="6"/>
  <c r="U94" i="6" s="1"/>
  <c r="U36" i="6"/>
  <c r="U92" i="6" s="1"/>
  <c r="U34" i="6"/>
  <c r="U90" i="6" s="1"/>
  <c r="V33" i="6"/>
  <c r="V89" i="6" s="1"/>
  <c r="U32" i="6"/>
  <c r="U88" i="6" s="1"/>
  <c r="V31" i="6"/>
  <c r="V47" i="6" s="1"/>
  <c r="U30" i="6"/>
  <c r="U86" i="6" s="1"/>
  <c r="V29" i="6"/>
  <c r="V85" i="6" s="1"/>
  <c r="U28" i="6"/>
  <c r="U84" i="6" s="1"/>
  <c r="V27" i="6"/>
  <c r="V83" i="6" s="1"/>
  <c r="U26" i="6"/>
  <c r="U82" i="6" s="1"/>
  <c r="B10" i="6"/>
  <c r="B8" i="6"/>
  <c r="W33" i="6"/>
  <c r="W49" i="6" s="1"/>
  <c r="W31" i="6"/>
  <c r="W47" i="6" s="1"/>
  <c r="W29" i="6"/>
  <c r="W85" i="6" s="1"/>
  <c r="W27" i="6"/>
  <c r="W83" i="6" s="1"/>
  <c r="B9" i="6"/>
  <c r="W38" i="6" l="1"/>
  <c r="W94" i="6" s="1"/>
  <c r="Y56" i="6"/>
  <c r="Y104" i="6" s="1"/>
  <c r="Y40" i="6"/>
  <c r="Y96" i="6" s="1"/>
  <c r="Y32" i="6"/>
  <c r="Y54" i="6"/>
  <c r="Y102" i="6" s="1"/>
  <c r="Y38" i="6"/>
  <c r="Y94" i="6" s="1"/>
  <c r="Y30" i="6"/>
  <c r="Y52" i="6"/>
  <c r="Y100" i="6" s="1"/>
  <c r="Y36" i="6"/>
  <c r="Y92" i="6" s="1"/>
  <c r="Y28" i="6"/>
  <c r="Y50" i="6"/>
  <c r="Y98" i="6" s="1"/>
  <c r="Y34" i="6"/>
  <c r="Y90" i="6" s="1"/>
  <c r="Y26" i="6"/>
  <c r="V30" i="6"/>
  <c r="V86" i="6" s="1"/>
  <c r="X56" i="6"/>
  <c r="X104" i="6" s="1"/>
  <c r="X40" i="6"/>
  <c r="X96" i="6" s="1"/>
  <c r="X32" i="6"/>
  <c r="X30" i="6"/>
  <c r="X54" i="6"/>
  <c r="X102" i="6" s="1"/>
  <c r="X38" i="6"/>
  <c r="X94" i="6" s="1"/>
  <c r="X52" i="6"/>
  <c r="X100" i="6" s="1"/>
  <c r="X36" i="6"/>
  <c r="X92" i="6" s="1"/>
  <c r="X28" i="6"/>
  <c r="X50" i="6"/>
  <c r="X98" i="6" s="1"/>
  <c r="X34" i="6"/>
  <c r="X90" i="6" s="1"/>
  <c r="X26" i="6"/>
  <c r="V56" i="6"/>
  <c r="V104" i="6" s="1"/>
  <c r="V40" i="6"/>
  <c r="V96" i="6" s="1"/>
  <c r="W26" i="6"/>
  <c r="W82" i="6" s="1"/>
  <c r="V26" i="6"/>
  <c r="V82" i="6" s="1"/>
  <c r="W56" i="6"/>
  <c r="W104" i="6" s="1"/>
  <c r="W40" i="6"/>
  <c r="W96" i="6" s="1"/>
  <c r="V32" i="6"/>
  <c r="V48" i="6" s="1"/>
  <c r="W28" i="6"/>
  <c r="W84" i="6" s="1"/>
  <c r="W30" i="6"/>
  <c r="W46" i="6" s="1"/>
  <c r="V28" i="6"/>
  <c r="V44" i="6" s="1"/>
  <c r="V50" i="6"/>
  <c r="V98" i="6" s="1"/>
  <c r="V52" i="6"/>
  <c r="V100" i="6" s="1"/>
  <c r="V34" i="6"/>
  <c r="V90" i="6" s="1"/>
  <c r="V36" i="6"/>
  <c r="V92" i="6" s="1"/>
  <c r="W32" i="6"/>
  <c r="W88" i="6" s="1"/>
  <c r="W50" i="6"/>
  <c r="W98" i="6" s="1"/>
  <c r="W52" i="6"/>
  <c r="W100" i="6" s="1"/>
  <c r="W34" i="6"/>
  <c r="W90" i="6" s="1"/>
  <c r="W36" i="6"/>
  <c r="W92" i="6" s="1"/>
  <c r="V54" i="6"/>
  <c r="V102" i="6" s="1"/>
  <c r="V38" i="6"/>
  <c r="V94" i="6" s="1"/>
  <c r="W54" i="6"/>
  <c r="W102" i="6" s="1"/>
  <c r="AF15" i="1"/>
  <c r="AO15" i="1"/>
  <c r="AG15" i="1"/>
  <c r="AP15" i="1"/>
  <c r="AH15" i="1"/>
  <c r="AQ15" i="1"/>
  <c r="AI15" i="1"/>
  <c r="AR15" i="1"/>
  <c r="AF16" i="1"/>
  <c r="AO16" i="1"/>
  <c r="AG16" i="1"/>
  <c r="AP16" i="1"/>
  <c r="AH16" i="1"/>
  <c r="AQ16" i="1"/>
  <c r="AI16" i="1"/>
  <c r="Z38" i="6"/>
  <c r="Z94" i="6" s="1"/>
  <c r="W89" i="6"/>
  <c r="AA84" i="6"/>
  <c r="AA34" i="6"/>
  <c r="AA90" i="6" s="1"/>
  <c r="AA38" i="6"/>
  <c r="AA94" i="6" s="1"/>
  <c r="V45" i="6"/>
  <c r="V49" i="6"/>
  <c r="V87" i="6"/>
  <c r="W45" i="6"/>
  <c r="W87" i="6"/>
  <c r="V42" i="6"/>
  <c r="V46" i="6"/>
  <c r="Z36" i="6"/>
  <c r="Z92" i="6" s="1"/>
  <c r="Z40" i="6"/>
  <c r="Z96" i="6" s="1"/>
  <c r="Z44" i="6"/>
  <c r="Z48" i="6"/>
  <c r="AA36" i="6"/>
  <c r="AA92" i="6" s="1"/>
  <c r="AA40" i="6"/>
  <c r="AA96" i="6" s="1"/>
  <c r="V43" i="6"/>
  <c r="W43" i="6"/>
  <c r="Z34" i="6"/>
  <c r="Z90" i="6" s="1"/>
  <c r="Z42" i="6"/>
  <c r="AA88" i="6"/>
  <c r="Z86" i="6"/>
  <c r="AA86" i="6"/>
  <c r="AA82" i="6"/>
  <c r="U104" i="6"/>
  <c r="T56" i="6"/>
  <c r="T104" i="6" s="1"/>
  <c r="U102" i="6"/>
  <c r="T54" i="6"/>
  <c r="T102" i="6" s="1"/>
  <c r="I101" i="6"/>
  <c r="U100" i="6"/>
  <c r="T52" i="6"/>
  <c r="T100" i="6" s="1"/>
  <c r="I100" i="6"/>
  <c r="I99" i="6"/>
  <c r="U98" i="6"/>
  <c r="T50" i="6"/>
  <c r="T98" i="6" s="1"/>
  <c r="T40" i="6"/>
  <c r="T96" i="6" s="1"/>
  <c r="T38" i="6"/>
  <c r="T94" i="6" s="1"/>
  <c r="T36" i="6"/>
  <c r="T92" i="6" s="1"/>
  <c r="T34" i="6"/>
  <c r="T90" i="6" s="1"/>
  <c r="T32" i="6"/>
  <c r="T30" i="6"/>
  <c r="T28" i="6"/>
  <c r="T84" i="6" s="1"/>
  <c r="T26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S104" i="6"/>
  <c r="R104" i="6"/>
  <c r="Q104" i="6"/>
  <c r="P104" i="6"/>
  <c r="O104" i="6"/>
  <c r="N104" i="6"/>
  <c r="M104" i="6"/>
  <c r="L104" i="6"/>
  <c r="K104" i="6"/>
  <c r="J104" i="6"/>
  <c r="I104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S102" i="6"/>
  <c r="R102" i="6"/>
  <c r="Q102" i="6"/>
  <c r="P102" i="6"/>
  <c r="O102" i="6"/>
  <c r="N102" i="6"/>
  <c r="M102" i="6"/>
  <c r="L102" i="6"/>
  <c r="K102" i="6"/>
  <c r="J102" i="6"/>
  <c r="I102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S100" i="6"/>
  <c r="R100" i="6"/>
  <c r="Q100" i="6"/>
  <c r="P100" i="6"/>
  <c r="O100" i="6"/>
  <c r="N100" i="6"/>
  <c r="M100" i="6"/>
  <c r="L100" i="6"/>
  <c r="K100" i="6"/>
  <c r="J100" i="6"/>
  <c r="U99" i="6"/>
  <c r="T99" i="6"/>
  <c r="S99" i="6"/>
  <c r="R99" i="6"/>
  <c r="Q99" i="6"/>
  <c r="P99" i="6"/>
  <c r="O99" i="6"/>
  <c r="N99" i="6"/>
  <c r="M99" i="6"/>
  <c r="L99" i="6"/>
  <c r="K99" i="6"/>
  <c r="J99" i="6"/>
  <c r="S98" i="6"/>
  <c r="R98" i="6"/>
  <c r="Q98" i="6"/>
  <c r="P98" i="6"/>
  <c r="O98" i="6"/>
  <c r="N98" i="6"/>
  <c r="M98" i="6"/>
  <c r="L98" i="6"/>
  <c r="K98" i="6"/>
  <c r="J98" i="6"/>
  <c r="I98" i="6"/>
  <c r="U48" i="6"/>
  <c r="U46" i="6"/>
  <c r="U44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S48" i="6"/>
  <c r="R48" i="6"/>
  <c r="Q48" i="6"/>
  <c r="P48" i="6"/>
  <c r="O48" i="6"/>
  <c r="N48" i="6"/>
  <c r="M48" i="6"/>
  <c r="L48" i="6"/>
  <c r="K48" i="6"/>
  <c r="J48" i="6"/>
  <c r="I48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S46" i="6"/>
  <c r="R46" i="6"/>
  <c r="Q46" i="6"/>
  <c r="P46" i="6"/>
  <c r="O46" i="6"/>
  <c r="N46" i="6"/>
  <c r="M46" i="6"/>
  <c r="L46" i="6"/>
  <c r="K46" i="6"/>
  <c r="J46" i="6"/>
  <c r="I46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S44" i="6"/>
  <c r="R44" i="6"/>
  <c r="Q44" i="6"/>
  <c r="P44" i="6"/>
  <c r="O44" i="6"/>
  <c r="N44" i="6"/>
  <c r="M44" i="6"/>
  <c r="L44" i="6"/>
  <c r="K44" i="6"/>
  <c r="J44" i="6"/>
  <c r="I44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S42" i="6"/>
  <c r="R42" i="6"/>
  <c r="Q42" i="6"/>
  <c r="P42" i="6"/>
  <c r="O42" i="6"/>
  <c r="N42" i="6"/>
  <c r="M42" i="6"/>
  <c r="L42" i="6"/>
  <c r="K42" i="6"/>
  <c r="J42" i="6"/>
  <c r="I42" i="6"/>
  <c r="U42" i="6"/>
  <c r="T81" i="6"/>
  <c r="T80" i="6"/>
  <c r="T78" i="6"/>
  <c r="T76" i="6"/>
  <c r="T75" i="6"/>
  <c r="T74" i="6"/>
  <c r="T65" i="6"/>
  <c r="T64" i="6"/>
  <c r="T62" i="6"/>
  <c r="T60" i="6"/>
  <c r="T59" i="6"/>
  <c r="T58" i="6"/>
  <c r="T25" i="6"/>
  <c r="T24" i="6"/>
  <c r="T22" i="6"/>
  <c r="T20" i="6"/>
  <c r="T19" i="6"/>
  <c r="T18" i="6"/>
  <c r="T15" i="6"/>
  <c r="T79" i="6" s="1"/>
  <c r="T13" i="6"/>
  <c r="T21" i="6" s="1"/>
  <c r="U15" i="6"/>
  <c r="U63" i="6" s="1"/>
  <c r="S15" i="6"/>
  <c r="S63" i="6" s="1"/>
  <c r="R15" i="6"/>
  <c r="R79" i="6" s="1"/>
  <c r="Q15" i="6"/>
  <c r="Q79" i="6" s="1"/>
  <c r="P15" i="6"/>
  <c r="P63" i="6" s="1"/>
  <c r="O15" i="6"/>
  <c r="O63" i="6" s="1"/>
  <c r="N15" i="6"/>
  <c r="N63" i="6" s="1"/>
  <c r="M15" i="6"/>
  <c r="M23" i="6" s="1"/>
  <c r="L15" i="6"/>
  <c r="L23" i="6" s="1"/>
  <c r="K15" i="6"/>
  <c r="K63" i="6" s="1"/>
  <c r="J15" i="6"/>
  <c r="J23" i="6" s="1"/>
  <c r="I15" i="6"/>
  <c r="I23" i="6" s="1"/>
  <c r="U13" i="6"/>
  <c r="U21" i="6" s="1"/>
  <c r="S13" i="6"/>
  <c r="S21" i="6" s="1"/>
  <c r="R13" i="6"/>
  <c r="R21" i="6" s="1"/>
  <c r="Q13" i="6"/>
  <c r="Q77" i="6" s="1"/>
  <c r="P13" i="6"/>
  <c r="P21" i="6" s="1"/>
  <c r="O13" i="6"/>
  <c r="O77" i="6" s="1"/>
  <c r="N13" i="6"/>
  <c r="N77" i="6" s="1"/>
  <c r="M13" i="6"/>
  <c r="M21" i="6" s="1"/>
  <c r="L13" i="6"/>
  <c r="L21" i="6" s="1"/>
  <c r="K13" i="6"/>
  <c r="K61" i="6" s="1"/>
  <c r="J13" i="6"/>
  <c r="J77" i="6" s="1"/>
  <c r="I13" i="6"/>
  <c r="I77" i="6" s="1"/>
  <c r="U81" i="6"/>
  <c r="S81" i="6"/>
  <c r="R81" i="6"/>
  <c r="Q81" i="6"/>
  <c r="P81" i="6"/>
  <c r="O81" i="6"/>
  <c r="N81" i="6"/>
  <c r="M81" i="6"/>
  <c r="L81" i="6"/>
  <c r="K81" i="6"/>
  <c r="J81" i="6"/>
  <c r="I81" i="6"/>
  <c r="U80" i="6"/>
  <c r="S80" i="6"/>
  <c r="R80" i="6"/>
  <c r="Q80" i="6"/>
  <c r="P80" i="6"/>
  <c r="O80" i="6"/>
  <c r="N80" i="6"/>
  <c r="M80" i="6"/>
  <c r="L80" i="6"/>
  <c r="K80" i="6"/>
  <c r="J80" i="6"/>
  <c r="I80" i="6"/>
  <c r="U78" i="6"/>
  <c r="S78" i="6"/>
  <c r="R78" i="6"/>
  <c r="Q78" i="6"/>
  <c r="P78" i="6"/>
  <c r="O78" i="6"/>
  <c r="N78" i="6"/>
  <c r="M78" i="6"/>
  <c r="L78" i="6"/>
  <c r="K78" i="6"/>
  <c r="J78" i="6"/>
  <c r="I78" i="6"/>
  <c r="U76" i="6"/>
  <c r="S76" i="6"/>
  <c r="R76" i="6"/>
  <c r="Q76" i="6"/>
  <c r="P76" i="6"/>
  <c r="O76" i="6"/>
  <c r="N76" i="6"/>
  <c r="M76" i="6"/>
  <c r="L76" i="6"/>
  <c r="K76" i="6"/>
  <c r="J76" i="6"/>
  <c r="I76" i="6"/>
  <c r="U75" i="6"/>
  <c r="S75" i="6"/>
  <c r="R75" i="6"/>
  <c r="Q75" i="6"/>
  <c r="P75" i="6"/>
  <c r="O75" i="6"/>
  <c r="N75" i="6"/>
  <c r="M75" i="6"/>
  <c r="L75" i="6"/>
  <c r="K75" i="6"/>
  <c r="J75" i="6"/>
  <c r="I75" i="6"/>
  <c r="U74" i="6"/>
  <c r="S74" i="6"/>
  <c r="R74" i="6"/>
  <c r="Q74" i="6"/>
  <c r="P74" i="6"/>
  <c r="O74" i="6"/>
  <c r="N74" i="6"/>
  <c r="M74" i="6"/>
  <c r="L74" i="6"/>
  <c r="K74" i="6"/>
  <c r="J74" i="6"/>
  <c r="I74" i="6"/>
  <c r="U65" i="6"/>
  <c r="S65" i="6"/>
  <c r="R65" i="6"/>
  <c r="Q65" i="6"/>
  <c r="P65" i="6"/>
  <c r="O65" i="6"/>
  <c r="N65" i="6"/>
  <c r="M65" i="6"/>
  <c r="L65" i="6"/>
  <c r="K65" i="6"/>
  <c r="J65" i="6"/>
  <c r="I65" i="6"/>
  <c r="U64" i="6"/>
  <c r="S64" i="6"/>
  <c r="R64" i="6"/>
  <c r="Q64" i="6"/>
  <c r="P64" i="6"/>
  <c r="O64" i="6"/>
  <c r="N64" i="6"/>
  <c r="M64" i="6"/>
  <c r="L64" i="6"/>
  <c r="K64" i="6"/>
  <c r="J64" i="6"/>
  <c r="I64" i="6"/>
  <c r="U62" i="6"/>
  <c r="S62" i="6"/>
  <c r="R62" i="6"/>
  <c r="Q62" i="6"/>
  <c r="P62" i="6"/>
  <c r="O62" i="6"/>
  <c r="N62" i="6"/>
  <c r="M62" i="6"/>
  <c r="L62" i="6"/>
  <c r="K62" i="6"/>
  <c r="J62" i="6"/>
  <c r="I62" i="6"/>
  <c r="U60" i="6"/>
  <c r="S60" i="6"/>
  <c r="R60" i="6"/>
  <c r="Q60" i="6"/>
  <c r="P60" i="6"/>
  <c r="O60" i="6"/>
  <c r="N60" i="6"/>
  <c r="M60" i="6"/>
  <c r="L60" i="6"/>
  <c r="K60" i="6"/>
  <c r="J60" i="6"/>
  <c r="I60" i="6"/>
  <c r="U59" i="6"/>
  <c r="S59" i="6"/>
  <c r="R59" i="6"/>
  <c r="Q59" i="6"/>
  <c r="P59" i="6"/>
  <c r="O59" i="6"/>
  <c r="N59" i="6"/>
  <c r="M59" i="6"/>
  <c r="L59" i="6"/>
  <c r="K59" i="6"/>
  <c r="J59" i="6"/>
  <c r="I59" i="6"/>
  <c r="U58" i="6"/>
  <c r="S58" i="6"/>
  <c r="R58" i="6"/>
  <c r="Q58" i="6"/>
  <c r="P58" i="6"/>
  <c r="O58" i="6"/>
  <c r="N58" i="6"/>
  <c r="M58" i="6"/>
  <c r="L58" i="6"/>
  <c r="K58" i="6"/>
  <c r="J58" i="6"/>
  <c r="I58" i="6"/>
  <c r="I18" i="6"/>
  <c r="J18" i="6"/>
  <c r="K18" i="6"/>
  <c r="U25" i="6"/>
  <c r="S25" i="6"/>
  <c r="R25" i="6"/>
  <c r="Q25" i="6"/>
  <c r="P25" i="6"/>
  <c r="O25" i="6"/>
  <c r="N25" i="6"/>
  <c r="M25" i="6"/>
  <c r="L25" i="6"/>
  <c r="K25" i="6"/>
  <c r="J25" i="6"/>
  <c r="U24" i="6"/>
  <c r="S24" i="6"/>
  <c r="R24" i="6"/>
  <c r="Q24" i="6"/>
  <c r="P24" i="6"/>
  <c r="O24" i="6"/>
  <c r="N24" i="6"/>
  <c r="M24" i="6"/>
  <c r="L24" i="6"/>
  <c r="K24" i="6"/>
  <c r="J24" i="6"/>
  <c r="U22" i="6"/>
  <c r="S22" i="6"/>
  <c r="R22" i="6"/>
  <c r="Q22" i="6"/>
  <c r="P22" i="6"/>
  <c r="O22" i="6"/>
  <c r="N22" i="6"/>
  <c r="M22" i="6"/>
  <c r="L22" i="6"/>
  <c r="K22" i="6"/>
  <c r="J22" i="6"/>
  <c r="U20" i="6"/>
  <c r="S20" i="6"/>
  <c r="R20" i="6"/>
  <c r="Q20" i="6"/>
  <c r="P20" i="6"/>
  <c r="O20" i="6"/>
  <c r="N20" i="6"/>
  <c r="M20" i="6"/>
  <c r="L20" i="6"/>
  <c r="K20" i="6"/>
  <c r="J20" i="6"/>
  <c r="U19" i="6"/>
  <c r="S19" i="6"/>
  <c r="R19" i="6"/>
  <c r="Q19" i="6"/>
  <c r="P19" i="6"/>
  <c r="O19" i="6"/>
  <c r="N19" i="6"/>
  <c r="M19" i="6"/>
  <c r="L19" i="6"/>
  <c r="K19" i="6"/>
  <c r="J19" i="6"/>
  <c r="U18" i="6"/>
  <c r="S18" i="6"/>
  <c r="R18" i="6"/>
  <c r="Q18" i="6"/>
  <c r="P18" i="6"/>
  <c r="O18" i="6"/>
  <c r="N18" i="6"/>
  <c r="M18" i="6"/>
  <c r="L18" i="6"/>
  <c r="I25" i="6"/>
  <c r="I24" i="6"/>
  <c r="I22" i="6"/>
  <c r="I20" i="6"/>
  <c r="I19" i="6"/>
  <c r="B7" i="6"/>
  <c r="X62" i="1"/>
  <c r="Z62" i="1"/>
  <c r="X59" i="1"/>
  <c r="W59" i="1"/>
  <c r="Z59" i="1"/>
  <c r="AA62" i="1"/>
  <c r="AA59" i="1"/>
  <c r="Y59" i="1"/>
  <c r="Y62" i="1"/>
  <c r="X84" i="6" l="1"/>
  <c r="X44" i="6"/>
  <c r="Y86" i="6"/>
  <c r="Y46" i="6"/>
  <c r="Y82" i="6"/>
  <c r="Y42" i="6"/>
  <c r="Y88" i="6"/>
  <c r="Y48" i="6"/>
  <c r="X82" i="6"/>
  <c r="X42" i="6"/>
  <c r="X86" i="6"/>
  <c r="X46" i="6"/>
  <c r="Y84" i="6"/>
  <c r="Y44" i="6"/>
  <c r="X88" i="6"/>
  <c r="X48" i="6"/>
  <c r="V84" i="6"/>
  <c r="W44" i="6"/>
  <c r="W86" i="6"/>
  <c r="W48" i="6"/>
  <c r="V88" i="6"/>
  <c r="W42" i="6"/>
  <c r="R23" i="6"/>
  <c r="R63" i="6"/>
  <c r="I63" i="1"/>
  <c r="I60" i="1"/>
  <c r="Q23" i="6"/>
  <c r="Q63" i="6"/>
  <c r="Q21" i="6"/>
  <c r="I63" i="6"/>
  <c r="I79" i="6"/>
  <c r="T44" i="6"/>
  <c r="P77" i="6"/>
  <c r="T48" i="6"/>
  <c r="T88" i="6"/>
  <c r="K77" i="6"/>
  <c r="L79" i="6"/>
  <c r="L63" i="6"/>
  <c r="L77" i="6"/>
  <c r="T42" i="6"/>
  <c r="T82" i="6"/>
  <c r="P61" i="6"/>
  <c r="T46" i="6"/>
  <c r="T86" i="6"/>
  <c r="I21" i="6"/>
  <c r="I61" i="6"/>
  <c r="M79" i="6"/>
  <c r="Q61" i="6"/>
  <c r="P79" i="6"/>
  <c r="J21" i="6"/>
  <c r="T77" i="6"/>
  <c r="T61" i="6"/>
  <c r="T23" i="6"/>
  <c r="T63" i="6"/>
  <c r="U79" i="6"/>
  <c r="U23" i="6"/>
  <c r="S79" i="6"/>
  <c r="S23" i="6"/>
  <c r="P23" i="6"/>
  <c r="O23" i="6"/>
  <c r="O79" i="6"/>
  <c r="N23" i="6"/>
  <c r="N79" i="6"/>
  <c r="M63" i="6"/>
  <c r="K23" i="6"/>
  <c r="K79" i="6"/>
  <c r="J79" i="6"/>
  <c r="J63" i="6"/>
  <c r="B11" i="6" s="1"/>
  <c r="U77" i="6"/>
  <c r="S61" i="6"/>
  <c r="S77" i="6"/>
  <c r="R61" i="6"/>
  <c r="R77" i="6"/>
  <c r="O21" i="6"/>
  <c r="O61" i="6"/>
  <c r="N21" i="6"/>
  <c r="N61" i="6"/>
  <c r="K21" i="6"/>
  <c r="J61" i="6"/>
  <c r="L61" i="6"/>
  <c r="U61" i="6"/>
  <c r="M77" i="6"/>
  <c r="M61" i="6"/>
  <c r="Q21" i="1"/>
  <c r="S21" i="1"/>
  <c r="U21" i="1"/>
  <c r="T21" i="1"/>
  <c r="Q22" i="1"/>
  <c r="O21" i="1"/>
  <c r="M21" i="1"/>
  <c r="K21" i="1"/>
  <c r="K22" i="1"/>
  <c r="U22" i="1"/>
  <c r="M22" i="1"/>
  <c r="T22" i="1"/>
  <c r="S22" i="1"/>
  <c r="O22" i="1"/>
  <c r="F19" i="1" l="1"/>
  <c r="F18" i="1"/>
  <c r="R12" i="1"/>
  <c r="O48" i="1"/>
  <c r="R49" i="1"/>
  <c r="J49" i="1"/>
  <c r="N48" i="1"/>
  <c r="Q49" i="1"/>
  <c r="U48" i="1"/>
  <c r="M48" i="1"/>
  <c r="S48" i="1"/>
  <c r="R48" i="1"/>
  <c r="U49" i="1"/>
  <c r="P49" i="1"/>
  <c r="T48" i="1"/>
  <c r="L48" i="1"/>
  <c r="N49" i="1"/>
  <c r="M49" i="1"/>
  <c r="T49" i="1"/>
  <c r="O49" i="1"/>
  <c r="K48" i="1"/>
  <c r="J48" i="1"/>
  <c r="Q48" i="1"/>
  <c r="L49" i="1"/>
  <c r="P48" i="1"/>
  <c r="S49" i="1"/>
  <c r="K49" i="1"/>
  <c r="L12" i="1"/>
  <c r="M12" i="1"/>
  <c r="K12" i="1"/>
  <c r="O12" i="1"/>
  <c r="N12" i="1"/>
  <c r="P12" i="1"/>
  <c r="Q12" i="1"/>
  <c r="J12" i="1"/>
  <c r="B4" i="6"/>
  <c r="B6" i="6"/>
  <c r="B5" i="6"/>
  <c r="F25" i="1"/>
  <c r="F7" i="1" l="1"/>
  <c r="F6" i="1"/>
  <c r="R22" i="1"/>
  <c r="R21" i="1"/>
  <c r="L22" i="1"/>
  <c r="L21" i="1"/>
  <c r="P22" i="1"/>
  <c r="P21" i="1"/>
  <c r="F47" i="1"/>
  <c r="F46" i="1"/>
  <c r="V55" i="1"/>
  <c r="T55" i="1"/>
  <c r="S55" i="1"/>
  <c r="R55" i="1"/>
  <c r="Q55" i="1"/>
  <c r="P55" i="1"/>
  <c r="O55" i="1"/>
  <c r="N55" i="1"/>
  <c r="M55" i="1"/>
  <c r="L55" i="1"/>
  <c r="K55" i="1"/>
  <c r="J55" i="1"/>
  <c r="F20" i="1"/>
  <c r="F30" i="1"/>
  <c r="F29" i="1"/>
  <c r="F17" i="1" l="1"/>
  <c r="AB3" i="1"/>
  <c r="F45" i="1"/>
  <c r="F43" i="1"/>
  <c r="F23" i="1" l="1"/>
  <c r="S15" i="1" l="1"/>
  <c r="P36" i="1"/>
  <c r="L36" i="1"/>
  <c r="J36" i="1"/>
  <c r="N36" i="1"/>
  <c r="R36" i="1"/>
  <c r="R23" i="1"/>
  <c r="K15" i="1"/>
  <c r="U23" i="1"/>
  <c r="T23" i="1"/>
  <c r="P23" i="1"/>
  <c r="U16" i="1"/>
  <c r="Q16" i="1"/>
  <c r="Q23" i="1"/>
  <c r="L23" i="1"/>
  <c r="U15" i="1"/>
  <c r="Q15" i="1"/>
  <c r="O23" i="1"/>
  <c r="O16" i="1"/>
  <c r="U35" i="1"/>
  <c r="M23" i="1"/>
  <c r="O15" i="1"/>
  <c r="Q35" i="1"/>
  <c r="K23" i="1"/>
  <c r="M16" i="1"/>
  <c r="O35" i="1"/>
  <c r="M15" i="1"/>
  <c r="M35" i="1"/>
  <c r="T16" i="1"/>
  <c r="K16" i="1"/>
  <c r="K35" i="1"/>
  <c r="T15" i="1"/>
  <c r="S16" i="1"/>
  <c r="S35" i="1"/>
  <c r="T35" i="1"/>
  <c r="S23" i="1"/>
  <c r="F58" i="1"/>
  <c r="F57" i="1"/>
  <c r="F56" i="1"/>
  <c r="V5" i="1"/>
  <c r="V4" i="1"/>
  <c r="BG3" i="1" l="1"/>
  <c r="F5" i="1"/>
  <c r="F4" i="1"/>
  <c r="B2" i="6"/>
  <c r="K4" i="1"/>
  <c r="F9" i="1" l="1"/>
  <c r="AD13" i="1"/>
  <c r="AN14" i="1"/>
  <c r="AB13" i="1"/>
  <c r="AE13" i="1"/>
  <c r="AM14" i="1"/>
  <c r="AL14" i="1"/>
  <c r="AK14" i="1"/>
  <c r="AC13" i="1"/>
  <c r="AJ3" i="1"/>
  <c r="W3" i="1"/>
  <c r="K5" i="1"/>
  <c r="U4" i="1"/>
  <c r="T4" i="1"/>
  <c r="Q5" i="1"/>
  <c r="M5" i="1"/>
  <c r="Q4" i="1"/>
  <c r="O4" i="1"/>
  <c r="T5" i="1"/>
  <c r="M4" i="1"/>
  <c r="U5" i="1"/>
  <c r="S5" i="1"/>
  <c r="S4" i="1"/>
  <c r="O5" i="1"/>
  <c r="BE3" i="1" l="1"/>
  <c r="BA3" i="1"/>
  <c r="AS3" i="1" l="1"/>
  <c r="J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tc={2CA6A159-4EC2-41A4-A4E7-9B046CF41EF9}</author>
  </authors>
  <commentList>
    <comment ref="I50" authorId="0" shapeId="0" xr:uid="{2CA6A159-4EC2-41A4-A4E7-9B046CF41EF9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overlap for pivot jamb is used</t>
      </text>
    </comment>
  </commentList>
</comments>
</file>

<file path=xl/sharedStrings.xml><?xml version="1.0" encoding="utf-8"?>
<sst xmlns="http://schemas.openxmlformats.org/spreadsheetml/2006/main" count="2509" uniqueCount="740">
  <si>
    <t>Description</t>
  </si>
  <si>
    <t>Group</t>
  </si>
  <si>
    <t>Multiplier</t>
  </si>
  <si>
    <t>Part Number</t>
  </si>
  <si>
    <t>Qty</t>
  </si>
  <si>
    <t>Model #</t>
  </si>
  <si>
    <t>Inputs</t>
  </si>
  <si>
    <t>Finish</t>
  </si>
  <si>
    <t>Status</t>
  </si>
  <si>
    <t>M-60288</t>
  </si>
  <si>
    <t>M-70288</t>
  </si>
  <si>
    <t>M-60278</t>
  </si>
  <si>
    <t>M-70278</t>
  </si>
  <si>
    <t>M-71239</t>
  </si>
  <si>
    <t>M-60294</t>
  </si>
  <si>
    <t>M-70294</t>
  </si>
  <si>
    <t>M-71241</t>
  </si>
  <si>
    <t>M-60264</t>
  </si>
  <si>
    <t>M-70264</t>
  </si>
  <si>
    <t>Build Unit</t>
  </si>
  <si>
    <t>Default</t>
  </si>
  <si>
    <t>X</t>
  </si>
  <si>
    <t>Sales Order #</t>
  </si>
  <si>
    <t>Line Item #</t>
  </si>
  <si>
    <t>FERT #</t>
  </si>
  <si>
    <t>Entry Date</t>
  </si>
  <si>
    <t>Qty of Units</t>
  </si>
  <si>
    <t>Unit Identification</t>
  </si>
  <si>
    <t>Job Name</t>
  </si>
  <si>
    <t>Sold To</t>
  </si>
  <si>
    <t>M-00321</t>
  </si>
  <si>
    <t>Clear (204)</t>
  </si>
  <si>
    <t>Dark Bronze (313)</t>
  </si>
  <si>
    <t>Black</t>
  </si>
  <si>
    <t>Painted</t>
  </si>
  <si>
    <t>Clad</t>
  </si>
  <si>
    <t>Anodized</t>
  </si>
  <si>
    <t>Powder Coat</t>
  </si>
  <si>
    <t>BASE PROFILE NUMBER</t>
  </si>
  <si>
    <t>M-00249</t>
  </si>
  <si>
    <t>M-60249</t>
  </si>
  <si>
    <t>M-70249</t>
  </si>
  <si>
    <t>M-80249</t>
  </si>
  <si>
    <t>M-00250</t>
  </si>
  <si>
    <t>M-60250</t>
  </si>
  <si>
    <t>M-70250</t>
  </si>
  <si>
    <t>M-80250</t>
  </si>
  <si>
    <t>M-00255</t>
  </si>
  <si>
    <t>M-60255</t>
  </si>
  <si>
    <t>M-70255</t>
  </si>
  <si>
    <t>M-80255</t>
  </si>
  <si>
    <t>M-00256</t>
  </si>
  <si>
    <t>M-60256</t>
  </si>
  <si>
    <t>M-70256</t>
  </si>
  <si>
    <t>M-80256</t>
  </si>
  <si>
    <t>M-00258</t>
  </si>
  <si>
    <t>M-60258</t>
  </si>
  <si>
    <t>M-00260</t>
  </si>
  <si>
    <t>M-60260</t>
  </si>
  <si>
    <t>M-00264</t>
  </si>
  <si>
    <t>M-80264</t>
  </si>
  <si>
    <t>M-00265</t>
  </si>
  <si>
    <t>M-60265</t>
  </si>
  <si>
    <t>M-70265</t>
  </si>
  <si>
    <t>M-80265</t>
  </si>
  <si>
    <t>M-00266</t>
  </si>
  <si>
    <t>M-60266</t>
  </si>
  <si>
    <t>M-70266</t>
  </si>
  <si>
    <t>M-80266</t>
  </si>
  <si>
    <t>M-00267</t>
  </si>
  <si>
    <t>M-60267</t>
  </si>
  <si>
    <t>M-70267</t>
  </si>
  <si>
    <t>M-80267</t>
  </si>
  <si>
    <t>M-00268</t>
  </si>
  <si>
    <t>M-60268</t>
  </si>
  <si>
    <t>M-70268</t>
  </si>
  <si>
    <t>M-80268</t>
  </si>
  <si>
    <t>M-00269</t>
  </si>
  <si>
    <t>M-60269</t>
  </si>
  <si>
    <t>M-70269</t>
  </si>
  <si>
    <t>M-00270</t>
  </si>
  <si>
    <t>M-60270</t>
  </si>
  <si>
    <t>M-70270</t>
  </si>
  <si>
    <t>M-80270</t>
  </si>
  <si>
    <t>M-00273</t>
  </si>
  <si>
    <t>M-60273</t>
  </si>
  <si>
    <t>M-70273</t>
  </si>
  <si>
    <t>M-80273</t>
  </si>
  <si>
    <t>M-00275</t>
  </si>
  <si>
    <t>M-60275</t>
  </si>
  <si>
    <t>M-70275</t>
  </si>
  <si>
    <t>M-80275</t>
  </si>
  <si>
    <t>M-00276</t>
  </si>
  <si>
    <t>M-60276</t>
  </si>
  <si>
    <t>M-70276</t>
  </si>
  <si>
    <t>M-80276</t>
  </si>
  <si>
    <t>M-00277</t>
  </si>
  <si>
    <t>M-60277</t>
  </si>
  <si>
    <t>M-70277</t>
  </si>
  <si>
    <t>M-80277</t>
  </si>
  <si>
    <t>M-00278</t>
  </si>
  <si>
    <t>M-00283</t>
  </si>
  <si>
    <t>M-60283</t>
  </si>
  <si>
    <t>M-70283</t>
  </si>
  <si>
    <t>M-80283</t>
  </si>
  <si>
    <t>M-00285</t>
  </si>
  <si>
    <t>M-60285</t>
  </si>
  <si>
    <t>M-70285</t>
  </si>
  <si>
    <t>M-80285</t>
  </si>
  <si>
    <t>M-00286</t>
  </si>
  <si>
    <t>M-60286</t>
  </si>
  <si>
    <t>M-70286</t>
  </si>
  <si>
    <t>M-80286</t>
  </si>
  <si>
    <t>M-00287</t>
  </si>
  <si>
    <t>M-60287</t>
  </si>
  <si>
    <t>M-70287</t>
  </si>
  <si>
    <t>M-80287</t>
  </si>
  <si>
    <t>M-00288</t>
  </si>
  <si>
    <t>M-80288</t>
  </si>
  <si>
    <t>M-00289</t>
  </si>
  <si>
    <t>M-60289</t>
  </si>
  <si>
    <t>M-00290</t>
  </si>
  <si>
    <t>M-60290</t>
  </si>
  <si>
    <t>M-70290</t>
  </si>
  <si>
    <t>M-80290</t>
  </si>
  <si>
    <t>M-00292</t>
  </si>
  <si>
    <t>M-60292</t>
  </si>
  <si>
    <t>M-70292</t>
  </si>
  <si>
    <t>M-80292</t>
  </si>
  <si>
    <t>M-00293</t>
  </si>
  <si>
    <t>M-60293</t>
  </si>
  <si>
    <t>M-70293</t>
  </si>
  <si>
    <t>M-80293</t>
  </si>
  <si>
    <t>M-00294</t>
  </si>
  <si>
    <t>M-80294</t>
  </si>
  <si>
    <t>M-00296</t>
  </si>
  <si>
    <t>M-60296</t>
  </si>
  <si>
    <t>M-70296</t>
  </si>
  <si>
    <t>M-80296</t>
  </si>
  <si>
    <t>M-00297</t>
  </si>
  <si>
    <t>M-60297</t>
  </si>
  <si>
    <t>M-00298</t>
  </si>
  <si>
    <t>M-60298</t>
  </si>
  <si>
    <t>M-70298</t>
  </si>
  <si>
    <t>M-80298</t>
  </si>
  <si>
    <t>M-00302</t>
  </si>
  <si>
    <t>M-60302</t>
  </si>
  <si>
    <t>M-00304</t>
  </si>
  <si>
    <t>M-60304</t>
  </si>
  <si>
    <t>M-70304</t>
  </si>
  <si>
    <t>M-00306</t>
  </si>
  <si>
    <t>M-60306</t>
  </si>
  <si>
    <t>M-70306</t>
  </si>
  <si>
    <t>M-00310</t>
  </si>
  <si>
    <t>M-70310</t>
  </si>
  <si>
    <t>M-00312</t>
  </si>
  <si>
    <t>M-60312</t>
  </si>
  <si>
    <t>M-70312</t>
  </si>
  <si>
    <t>M-80312</t>
  </si>
  <si>
    <t>M-00313</t>
  </si>
  <si>
    <t>M-60313</t>
  </si>
  <si>
    <t>M-70313</t>
  </si>
  <si>
    <t>M-80313</t>
  </si>
  <si>
    <t>M-00314</t>
  </si>
  <si>
    <t>M-60314</t>
  </si>
  <si>
    <t>M-70314</t>
  </si>
  <si>
    <t>M-80314</t>
  </si>
  <si>
    <t>M-00315</t>
  </si>
  <si>
    <t>M-60315</t>
  </si>
  <si>
    <t>M-70315</t>
  </si>
  <si>
    <t>M-80315</t>
  </si>
  <si>
    <t>M-00316</t>
  </si>
  <si>
    <t>M-60316</t>
  </si>
  <si>
    <t>M-70316</t>
  </si>
  <si>
    <t>M-80316</t>
  </si>
  <si>
    <t>M-00318</t>
  </si>
  <si>
    <t>M-60318</t>
  </si>
  <si>
    <t>M-70318</t>
  </si>
  <si>
    <t>M-80318</t>
  </si>
  <si>
    <t>M-00319</t>
  </si>
  <si>
    <t>M-60319</t>
  </si>
  <si>
    <t>M-70319</t>
  </si>
  <si>
    <t>M-80319</t>
  </si>
  <si>
    <t>M-00320</t>
  </si>
  <si>
    <t>M-60320</t>
  </si>
  <si>
    <t>M-70320</t>
  </si>
  <si>
    <t>M-80320</t>
  </si>
  <si>
    <t>M-00323</t>
  </si>
  <si>
    <t>M-60323</t>
  </si>
  <si>
    <t>M-70323</t>
  </si>
  <si>
    <t>M-80323</t>
  </si>
  <si>
    <t>M-00325</t>
  </si>
  <si>
    <t>M-60325</t>
  </si>
  <si>
    <t>M-00327</t>
  </si>
  <si>
    <t>M-60327</t>
  </si>
  <si>
    <t>M-70327</t>
  </si>
  <si>
    <t>M-80327</t>
  </si>
  <si>
    <t>M-00328</t>
  </si>
  <si>
    <t>M-80328</t>
  </si>
  <si>
    <t>M-00329</t>
  </si>
  <si>
    <t>M-60329</t>
  </si>
  <si>
    <t>M-70329</t>
  </si>
  <si>
    <t>M-80329</t>
  </si>
  <si>
    <t>M-00330</t>
  </si>
  <si>
    <t>M-60330</t>
  </si>
  <si>
    <t>M-70330</t>
  </si>
  <si>
    <t>M-80330</t>
  </si>
  <si>
    <t>M-00332</t>
  </si>
  <si>
    <t>M-60332</t>
  </si>
  <si>
    <t>M-70332</t>
  </si>
  <si>
    <t>M-00333</t>
  </si>
  <si>
    <t>M-60333</t>
  </si>
  <si>
    <t>M-70333</t>
  </si>
  <si>
    <t>M-80333</t>
  </si>
  <si>
    <t>M-00334</t>
  </si>
  <si>
    <t>M-60334</t>
  </si>
  <si>
    <t>M-70334</t>
  </si>
  <si>
    <t>M-00336</t>
  </si>
  <si>
    <t>M-60336</t>
  </si>
  <si>
    <t>M-70336</t>
  </si>
  <si>
    <t>M-00338</t>
  </si>
  <si>
    <t>M-60338</t>
  </si>
  <si>
    <t>M-70338</t>
  </si>
  <si>
    <t>M-80338</t>
  </si>
  <si>
    <t>M-00511</t>
  </si>
  <si>
    <t>M-60511</t>
  </si>
  <si>
    <t>M-00586</t>
  </si>
  <si>
    <t>M-60586</t>
  </si>
  <si>
    <t>M-70586</t>
  </si>
  <si>
    <t>M-80586</t>
  </si>
  <si>
    <t>M-00637</t>
  </si>
  <si>
    <t>M-60637</t>
  </si>
  <si>
    <t>M-70637</t>
  </si>
  <si>
    <t>M-80637</t>
  </si>
  <si>
    <t>M-00808</t>
  </si>
  <si>
    <t>M-60808</t>
  </si>
  <si>
    <t>M-70808</t>
  </si>
  <si>
    <t>M-00809</t>
  </si>
  <si>
    <t>M-60809</t>
  </si>
  <si>
    <t>M-70809</t>
  </si>
  <si>
    <t>M-00827</t>
  </si>
  <si>
    <t>M-80827</t>
  </si>
  <si>
    <t>M-00828</t>
  </si>
  <si>
    <t>M-60828</t>
  </si>
  <si>
    <t>M-70828</t>
  </si>
  <si>
    <t>M-80828</t>
  </si>
  <si>
    <t>M-00830</t>
  </si>
  <si>
    <t>M-60830</t>
  </si>
  <si>
    <t>M-70830</t>
  </si>
  <si>
    <t>M-00831</t>
  </si>
  <si>
    <t>M-60831</t>
  </si>
  <si>
    <t>M-70831</t>
  </si>
  <si>
    <t>M-00858</t>
  </si>
  <si>
    <t>M-60858</t>
  </si>
  <si>
    <t>M-00884</t>
  </si>
  <si>
    <t>M-60884</t>
  </si>
  <si>
    <t>M-70884</t>
  </si>
  <si>
    <t>M-80884</t>
  </si>
  <si>
    <t>M-00885</t>
  </si>
  <si>
    <t>M-60885</t>
  </si>
  <si>
    <t>M-70885</t>
  </si>
  <si>
    <t>M-80885</t>
  </si>
  <si>
    <t>M-00886</t>
  </si>
  <si>
    <t>M-60886</t>
  </si>
  <si>
    <t>M-70886</t>
  </si>
  <si>
    <t>M-00889</t>
  </si>
  <si>
    <t>M-60889</t>
  </si>
  <si>
    <t>M-70889</t>
  </si>
  <si>
    <t>M-80889</t>
  </si>
  <si>
    <t>M-00892</t>
  </si>
  <si>
    <t>M-60892</t>
  </si>
  <si>
    <t>M-70892</t>
  </si>
  <si>
    <t>M-80892</t>
  </si>
  <si>
    <t>M-00893</t>
  </si>
  <si>
    <t>M-80893</t>
  </si>
  <si>
    <t>M-00897</t>
  </si>
  <si>
    <t>M-60897</t>
  </si>
  <si>
    <t>M-70897</t>
  </si>
  <si>
    <t>M-80897</t>
  </si>
  <si>
    <t>M-00899</t>
  </si>
  <si>
    <t>M-60899</t>
  </si>
  <si>
    <t>M-70899</t>
  </si>
  <si>
    <t>M-80899</t>
  </si>
  <si>
    <t>M-00906</t>
  </si>
  <si>
    <t>M-60906</t>
  </si>
  <si>
    <t>M-70906</t>
  </si>
  <si>
    <t>M-00907</t>
  </si>
  <si>
    <t>M-60907</t>
  </si>
  <si>
    <t>M-00908</t>
  </si>
  <si>
    <t>M-60908</t>
  </si>
  <si>
    <t>M-70908</t>
  </si>
  <si>
    <t>M-80908</t>
  </si>
  <si>
    <t>M-00909</t>
  </si>
  <si>
    <t>M-60909</t>
  </si>
  <si>
    <t>M-70909</t>
  </si>
  <si>
    <t>M-80909</t>
  </si>
  <si>
    <t>M-00910</t>
  </si>
  <si>
    <t>M-60910</t>
  </si>
  <si>
    <t>M-70910</t>
  </si>
  <si>
    <t>M-80910</t>
  </si>
  <si>
    <t>M-00911</t>
  </si>
  <si>
    <t>M-60911</t>
  </si>
  <si>
    <t>M-70911</t>
  </si>
  <si>
    <t>M-80911</t>
  </si>
  <si>
    <t>M-00915</t>
  </si>
  <si>
    <t>M-60915</t>
  </si>
  <si>
    <t>M-70915</t>
  </si>
  <si>
    <t>M-00917</t>
  </si>
  <si>
    <t>M-60917</t>
  </si>
  <si>
    <t>M-70917</t>
  </si>
  <si>
    <t>M-00918</t>
  </si>
  <si>
    <t>M-60918</t>
  </si>
  <si>
    <t>M-70918</t>
  </si>
  <si>
    <t>M-00923</t>
  </si>
  <si>
    <t>M-60923</t>
  </si>
  <si>
    <t>M-70923</t>
  </si>
  <si>
    <t>M-80923</t>
  </si>
  <si>
    <t>M-00924</t>
  </si>
  <si>
    <t>M-60924</t>
  </si>
  <si>
    <t>M-70924</t>
  </si>
  <si>
    <t>M-80924</t>
  </si>
  <si>
    <t>M-01037</t>
  </si>
  <si>
    <t>M-61037</t>
  </si>
  <si>
    <t>M-71037</t>
  </si>
  <si>
    <t>M-01058</t>
  </si>
  <si>
    <t>M-61058</t>
  </si>
  <si>
    <t>M-71058</t>
  </si>
  <si>
    <t>M-01075</t>
  </si>
  <si>
    <t>M-61075</t>
  </si>
  <si>
    <t>M-01160</t>
  </si>
  <si>
    <t>M-61160</t>
  </si>
  <si>
    <t>M-71160</t>
  </si>
  <si>
    <t>M-81160</t>
  </si>
  <si>
    <t>M-01179</t>
  </si>
  <si>
    <t>M-61179</t>
  </si>
  <si>
    <t>M-01184</t>
  </si>
  <si>
    <t>M-61184</t>
  </si>
  <si>
    <t>M-81184</t>
  </si>
  <si>
    <t>M-01235</t>
  </si>
  <si>
    <t>M-61235</t>
  </si>
  <si>
    <t>M-71235</t>
  </si>
  <si>
    <t>M-01241</t>
  </si>
  <si>
    <t>M-01323</t>
  </si>
  <si>
    <t>M-61323</t>
  </si>
  <si>
    <t>M-71323</t>
  </si>
  <si>
    <t>M-01426</t>
  </si>
  <si>
    <t>M-61426</t>
  </si>
  <si>
    <t>M-71426</t>
  </si>
  <si>
    <t>M-01463</t>
  </si>
  <si>
    <t>M-00882</t>
  </si>
  <si>
    <t>M-60882</t>
  </si>
  <si>
    <t>M-70882</t>
  </si>
  <si>
    <t>M-01318</t>
  </si>
  <si>
    <t>M-61318</t>
  </si>
  <si>
    <t>M-71318</t>
  </si>
  <si>
    <t>M-01370</t>
  </si>
  <si>
    <t>M-61370</t>
  </si>
  <si>
    <t>M-71370</t>
  </si>
  <si>
    <t>M-01239</t>
  </si>
  <si>
    <t>Turn On</t>
  </si>
  <si>
    <t>Model</t>
  </si>
  <si>
    <t>Paint by Customer</t>
  </si>
  <si>
    <t>M-01948</t>
  </si>
  <si>
    <t>M-61948</t>
  </si>
  <si>
    <t>M-71948</t>
  </si>
  <si>
    <t>Variables</t>
  </si>
  <si>
    <t>GT20</t>
  </si>
  <si>
    <t>GT300</t>
  </si>
  <si>
    <t>GT8300</t>
  </si>
  <si>
    <t>GT400</t>
  </si>
  <si>
    <t>GT8400</t>
  </si>
  <si>
    <t>GT350</t>
  </si>
  <si>
    <t>GT8350</t>
  </si>
  <si>
    <t>GT500</t>
  </si>
  <si>
    <t>GT8500</t>
  </si>
  <si>
    <t>GT600</t>
  </si>
  <si>
    <t>GT710</t>
  </si>
  <si>
    <t>GT7310</t>
  </si>
  <si>
    <t>GT8310</t>
  </si>
  <si>
    <t>GT8710</t>
  </si>
  <si>
    <t>LH Overlap</t>
  </si>
  <si>
    <t>RH Overlap</t>
  </si>
  <si>
    <t>Header Length</t>
  </si>
  <si>
    <t>Pivot Type</t>
  </si>
  <si>
    <t>Butt Hinge/Offset Pivot</t>
  </si>
  <si>
    <t>Center Pivot with Finger Guard</t>
  </si>
  <si>
    <t>Center Pivot without Finger Guard</t>
  </si>
  <si>
    <t>Panic</t>
  </si>
  <si>
    <t>Center Divider Width</t>
  </si>
  <si>
    <t>Dual</t>
  </si>
  <si>
    <t>Opman</t>
  </si>
  <si>
    <t>Application</t>
  </si>
  <si>
    <t>Single</t>
  </si>
  <si>
    <t>Sim Pair</t>
  </si>
  <si>
    <t>Double Egress</t>
  </si>
  <si>
    <t>LH Inswing</t>
  </si>
  <si>
    <t>LH Outswing</t>
  </si>
  <si>
    <t>RH Inswing</t>
  </si>
  <si>
    <t>RH Outswing</t>
  </si>
  <si>
    <t>LH Manual Outswing</t>
  </si>
  <si>
    <t>RH Manual Outswing</t>
  </si>
  <si>
    <t>LH Manual Inswing</t>
  </si>
  <si>
    <t>RH Manual Inswing</t>
  </si>
  <si>
    <t>None</t>
  </si>
  <si>
    <t>Panel Config.</t>
  </si>
  <si>
    <t>LH Panel Configuration</t>
  </si>
  <si>
    <t>RH Panel Configuration</t>
  </si>
  <si>
    <t>Header</t>
  </si>
  <si>
    <t>GT7510</t>
  </si>
  <si>
    <t>Extru</t>
  </si>
  <si>
    <t>Header Extrusion</t>
  </si>
  <si>
    <t>Header Cover Extrusion</t>
  </si>
  <si>
    <t>Bottom Load Top Piece Extrusion</t>
  </si>
  <si>
    <t>Bottom Load Side Piece Extrusion</t>
  </si>
  <si>
    <t>Bottom Load Dress Plate</t>
  </si>
  <si>
    <t>Parts</t>
  </si>
  <si>
    <t>Mounting Bracket</t>
  </si>
  <si>
    <t>Full Length Mounting Bracket</t>
  </si>
  <si>
    <t>S</t>
  </si>
  <si>
    <t>M-01504</t>
  </si>
  <si>
    <t>M-61504</t>
  </si>
  <si>
    <t>M-71504</t>
  </si>
  <si>
    <t>M-01503</t>
  </si>
  <si>
    <t>Full Length w/ Holes</t>
  </si>
  <si>
    <t>Full Length w/o Holes</t>
  </si>
  <si>
    <t>Short w/ Holes</t>
  </si>
  <si>
    <t>Short w/o Holes</t>
  </si>
  <si>
    <t>Sideload vs Bottomload</t>
  </si>
  <si>
    <t>Bottomload</t>
  </si>
  <si>
    <t>Sideload</t>
  </si>
  <si>
    <t>Side vs Bottom</t>
  </si>
  <si>
    <t>OHC vs CU</t>
  </si>
  <si>
    <t>OHC</t>
  </si>
  <si>
    <t>CU</t>
  </si>
  <si>
    <t>LH Operator</t>
  </si>
  <si>
    <t>RH Operator</t>
  </si>
  <si>
    <t>Control</t>
  </si>
  <si>
    <t>U</t>
  </si>
  <si>
    <t>LH Door Opening</t>
  </si>
  <si>
    <t>RH Door Opening</t>
  </si>
  <si>
    <t>LH Panel Handing</t>
  </si>
  <si>
    <t>RH Panel Handing</t>
  </si>
  <si>
    <t>Swing Clear</t>
  </si>
  <si>
    <t>Screw - End Cap to Header Extrusion</t>
  </si>
  <si>
    <t>Wire Hold Down - Saddle</t>
  </si>
  <si>
    <t>V-00098</t>
  </si>
  <si>
    <t>T-00029</t>
  </si>
  <si>
    <t>Ground Screw</t>
  </si>
  <si>
    <t>Cup Washer - Ground Screw to Header</t>
  </si>
  <si>
    <t>V-00104</t>
  </si>
  <si>
    <t>Nabco Nameplate</t>
  </si>
  <si>
    <t>C-00067</t>
  </si>
  <si>
    <t>Label - UL Fire Door</t>
  </si>
  <si>
    <t>Label - UL Electrical</t>
  </si>
  <si>
    <t>M-01799</t>
  </si>
  <si>
    <t>M-01801</t>
  </si>
  <si>
    <t>Wiring Instructions</t>
  </si>
  <si>
    <t>C-00059</t>
  </si>
  <si>
    <t>Decal - Hazardous Shock</t>
  </si>
  <si>
    <t>C-00058</t>
  </si>
  <si>
    <t>Decal - Main Speed - Hydraulic Closer</t>
  </si>
  <si>
    <t>Decal - Latch Speed - Hydraulic Closer</t>
  </si>
  <si>
    <t>Decal - Back Check - Hydraulic Closer</t>
  </si>
  <si>
    <t>C-00061</t>
  </si>
  <si>
    <t>C-00062</t>
  </si>
  <si>
    <t>C-00063</t>
  </si>
  <si>
    <t>T-00251</t>
  </si>
  <si>
    <t>T-00259</t>
  </si>
  <si>
    <t>Overload Wire - 18AWG Black - Pairs</t>
  </si>
  <si>
    <t>Control Wire - 20AWG Blue - Pairs</t>
  </si>
  <si>
    <t>Header End Cap</t>
  </si>
  <si>
    <t>Dome Plug - End Cap</t>
  </si>
  <si>
    <t>V-00109</t>
  </si>
  <si>
    <t>Wire Hold Down - Cable Clamp</t>
  </si>
  <si>
    <t>V-00100</t>
  </si>
  <si>
    <t>Finish Code</t>
  </si>
  <si>
    <t>Operator</t>
  </si>
  <si>
    <t>Screw, LH Operator to Header</t>
  </si>
  <si>
    <t>Screw, RH Operator to Header</t>
  </si>
  <si>
    <t>Screw - Cover Attachment - Sideload</t>
  </si>
  <si>
    <t>Power Rocker Switch</t>
  </si>
  <si>
    <t>M-01085</t>
  </si>
  <si>
    <t>Screw - Power Switch to Header</t>
  </si>
  <si>
    <t>T-00335</t>
  </si>
  <si>
    <t>A-00468</t>
  </si>
  <si>
    <t>Wire Nut, Blue</t>
  </si>
  <si>
    <t>T-00047</t>
  </si>
  <si>
    <t>Screw - Control to Header</t>
  </si>
  <si>
    <t>Washer - Control to Header</t>
  </si>
  <si>
    <t>A-00409</t>
  </si>
  <si>
    <t>A-01098</t>
  </si>
  <si>
    <t>M-01546</t>
  </si>
  <si>
    <t>T-00365</t>
  </si>
  <si>
    <t>Power Harness</t>
  </si>
  <si>
    <t>M-01072</t>
  </si>
  <si>
    <t>Motor Harness</t>
  </si>
  <si>
    <t>Sim Pair Harness</t>
  </si>
  <si>
    <t>A-01000</t>
  </si>
  <si>
    <t>A-01249</t>
  </si>
  <si>
    <t>M-01680</t>
  </si>
  <si>
    <t>Brake Module</t>
  </si>
  <si>
    <t>A-01003</t>
  </si>
  <si>
    <t>Control Switch</t>
  </si>
  <si>
    <t>A-00805</t>
  </si>
  <si>
    <t>Decal Package</t>
  </si>
  <si>
    <t>Parts Bag - Wire Clip</t>
  </si>
  <si>
    <t>A-00423</t>
  </si>
  <si>
    <t>A-00454</t>
  </si>
  <si>
    <t>M-01055</t>
  </si>
  <si>
    <t>M-61055</t>
  </si>
  <si>
    <t>M-71055</t>
  </si>
  <si>
    <t>M-01464</t>
  </si>
  <si>
    <t>M-61464</t>
  </si>
  <si>
    <t>M-71464</t>
  </si>
  <si>
    <t>M-01051</t>
  </si>
  <si>
    <t>M-61051</t>
  </si>
  <si>
    <t>M-71051</t>
  </si>
  <si>
    <t>Washer - Grounding</t>
  </si>
  <si>
    <t>T-00347</t>
  </si>
  <si>
    <t>T-00346</t>
  </si>
  <si>
    <t>Door Stop Assembly/Kit</t>
  </si>
  <si>
    <t>A-00489</t>
  </si>
  <si>
    <t>Cover Alignment Pin - Bottom Load</t>
  </si>
  <si>
    <t>M-01551</t>
  </si>
  <si>
    <t>Arrow Clip</t>
  </si>
  <si>
    <t>V-00256</t>
  </si>
  <si>
    <t>V-00261</t>
  </si>
  <si>
    <t>A-01001</t>
  </si>
  <si>
    <t>Motor Mount, Rear - Bottom Load</t>
  </si>
  <si>
    <t>A-00501</t>
  </si>
  <si>
    <t>Cover Bracket - Bottom Load</t>
  </si>
  <si>
    <t>M-01177</t>
  </si>
  <si>
    <t>Screw - Cover Attachment - Bottomload</t>
  </si>
  <si>
    <t>Finger Guard</t>
  </si>
  <si>
    <t>CUvsOHC</t>
  </si>
  <si>
    <t>LH Reveal</t>
  </si>
  <si>
    <t>RH Reveal</t>
  </si>
  <si>
    <t>Arm</t>
  </si>
  <si>
    <t>LH Panel Arm</t>
  </si>
  <si>
    <t>LH Panel Track</t>
  </si>
  <si>
    <t>RH Panel Arm</t>
  </si>
  <si>
    <t>RH Panel Track</t>
  </si>
  <si>
    <t>LH Panel Track Spacer</t>
  </si>
  <si>
    <t>RH Panel Track Spacer</t>
  </si>
  <si>
    <t>Jamb to Spindle</t>
  </si>
  <si>
    <t>Jamb to C/L of Shoe</t>
  </si>
  <si>
    <t>Outswing Reveal Limit (20" Rod)</t>
  </si>
  <si>
    <t>Outswing Reveal Limit (30" Rod)</t>
  </si>
  <si>
    <t>Inswing Reveal Limit (Short Track)</t>
  </si>
  <si>
    <t>Outswing</t>
  </si>
  <si>
    <t>Inswing</t>
  </si>
  <si>
    <t>n/a</t>
  </si>
  <si>
    <t>GT20Butt Hinge/Offset PivotInswing</t>
  </si>
  <si>
    <t>GT20Center Pivot with Finger GuardInswing</t>
  </si>
  <si>
    <t>GT20Center Pivot without Finger GuardInswing</t>
  </si>
  <si>
    <t>GT20Swing ClearInswing</t>
  </si>
  <si>
    <t>GT300Butt Hinge/Offset PivotInswing</t>
  </si>
  <si>
    <t>GT300Center Pivot with Finger GuardInswing</t>
  </si>
  <si>
    <t>GT300Center Pivot without Finger GuardInswing</t>
  </si>
  <si>
    <t>GT300Swing ClearInswing</t>
  </si>
  <si>
    <t>GT350Butt Hinge/Offset PivotInswing</t>
  </si>
  <si>
    <t>GT350Center Pivot with Finger GuardInswing</t>
  </si>
  <si>
    <t>GT350Center Pivot without Finger GuardInswing</t>
  </si>
  <si>
    <t>GT350Swing ClearInswing</t>
  </si>
  <si>
    <t>GT400Butt Hinge/Offset PivotInswing</t>
  </si>
  <si>
    <t>GT400Center Pivot with Finger GuardInswing</t>
  </si>
  <si>
    <t>GT400Center Pivot without Finger GuardInswing</t>
  </si>
  <si>
    <t>GT400Swing ClearInswing</t>
  </si>
  <si>
    <t>GT500Butt Hinge/Offset PivotInswing</t>
  </si>
  <si>
    <t>GT500Center Pivot with Finger GuardInswing</t>
  </si>
  <si>
    <t>GT500Center Pivot without Finger GuardInswing</t>
  </si>
  <si>
    <t>GT500Swing ClearInswing</t>
  </si>
  <si>
    <t>GT600Butt Hinge/Offset PivotInswing</t>
  </si>
  <si>
    <t>GT600Center Pivot with Finger GuardInswing</t>
  </si>
  <si>
    <t>GT600Center Pivot without Finger GuardInswing</t>
  </si>
  <si>
    <t>GT600Swing ClearInswing</t>
  </si>
  <si>
    <t>GT710Butt Hinge/Offset PivotInswing</t>
  </si>
  <si>
    <t>GT710Center Pivot with Finger GuardInswing</t>
  </si>
  <si>
    <t>GT710Center Pivot without Finger GuardInswing</t>
  </si>
  <si>
    <t>GT710Swing ClearInswing</t>
  </si>
  <si>
    <t>GT8300Butt Hinge/Offset PivotInswing</t>
  </si>
  <si>
    <t>GT8300Center Pivot with Finger GuardInswing</t>
  </si>
  <si>
    <t>GT8300Center Pivot without Finger GuardInswing</t>
  </si>
  <si>
    <t>GT8300Swing ClearInswing</t>
  </si>
  <si>
    <t>GT8310Butt Hinge/Offset PivotInswing</t>
  </si>
  <si>
    <t>GT8310Center Pivot with Finger GuardInswing</t>
  </si>
  <si>
    <t>GT8310Center Pivot without Finger GuardInswing</t>
  </si>
  <si>
    <t>GT8310Swing ClearInswing</t>
  </si>
  <si>
    <t>GT8350Butt Hinge/Offset PivotInswing</t>
  </si>
  <si>
    <t>GT8350Center Pivot with Finger GuardInswing</t>
  </si>
  <si>
    <t>GT8350Center Pivot without Finger GuardInswing</t>
  </si>
  <si>
    <t>GT8350Swing ClearInswing</t>
  </si>
  <si>
    <t>GT8400Butt Hinge/Offset PivotInswing</t>
  </si>
  <si>
    <t>GT8400Center Pivot with Finger GuardInswing</t>
  </si>
  <si>
    <t>GT8400Center Pivot without Finger GuardInswing</t>
  </si>
  <si>
    <t>GT8400Swing ClearInswing</t>
  </si>
  <si>
    <t>GT8500Butt Hinge/Offset PivotInswing</t>
  </si>
  <si>
    <t>GT8500Center Pivot with Finger GuardInswing</t>
  </si>
  <si>
    <t>GT8500Center Pivot without Finger GuardInswing</t>
  </si>
  <si>
    <t>GT8500Swing ClearInswing</t>
  </si>
  <si>
    <t>GT8710Butt Hinge/Offset PivotInswing</t>
  </si>
  <si>
    <t>GT8710Center Pivot with Finger GuardInswing</t>
  </si>
  <si>
    <t>GT8710Center Pivot without Finger GuardInswing</t>
  </si>
  <si>
    <t>GT8710Swing ClearInswing</t>
  </si>
  <si>
    <t>GT20Butt Hinge/Offset PivotOutswing</t>
  </si>
  <si>
    <t>GT20Center Pivot with Finger GuardOutswing</t>
  </si>
  <si>
    <t>GT20Center Pivot without Finger GuardOutswing</t>
  </si>
  <si>
    <t>GT20Swing ClearOutswing</t>
  </si>
  <si>
    <t>GT300Butt Hinge/Offset PivotOutswing</t>
  </si>
  <si>
    <t>GT300Center Pivot with Finger GuardOutswing</t>
  </si>
  <si>
    <t>GT300Center Pivot without Finger GuardOutswing</t>
  </si>
  <si>
    <t>GT300Swing ClearOutswing</t>
  </si>
  <si>
    <t>GT350Butt Hinge/Offset PivotOutswing</t>
  </si>
  <si>
    <t>GT350Center Pivot with Finger GuardOutswing</t>
  </si>
  <si>
    <t>GT350Center Pivot without Finger GuardOutswing</t>
  </si>
  <si>
    <t>GT350Swing ClearOutswing</t>
  </si>
  <si>
    <t>GT400Butt Hinge/Offset PivotOutswing</t>
  </si>
  <si>
    <t>GT400Center Pivot with Finger GuardOutswing</t>
  </si>
  <si>
    <t>GT400Center Pivot without Finger GuardOutswing</t>
  </si>
  <si>
    <t>GT400Swing ClearOutswing</t>
  </si>
  <si>
    <t>GT500Butt Hinge/Offset PivotOutswing</t>
  </si>
  <si>
    <t>GT500Center Pivot with Finger GuardOutswing</t>
  </si>
  <si>
    <t>GT500Center Pivot without Finger GuardOutswing</t>
  </si>
  <si>
    <t>GT500Swing ClearOutswing</t>
  </si>
  <si>
    <t>GT600Butt Hinge/Offset PivotOutswing</t>
  </si>
  <si>
    <t>GT600Center Pivot with Finger GuardOutswing</t>
  </si>
  <si>
    <t>GT600Center Pivot without Finger GuardOutswing</t>
  </si>
  <si>
    <t>GT600Swing ClearOutswing</t>
  </si>
  <si>
    <t>GT710Butt Hinge/Offset PivotOutswing</t>
  </si>
  <si>
    <t>GT710Center Pivot with Finger GuardOutswing</t>
  </si>
  <si>
    <t>GT710Center Pivot without Finger GuardOutswing</t>
  </si>
  <si>
    <t>GT710Swing ClearOutswing</t>
  </si>
  <si>
    <t>GT8300Butt Hinge/Offset PivotOutswing</t>
  </si>
  <si>
    <t>GT8300Center Pivot with Finger GuardOutswing</t>
  </si>
  <si>
    <t>GT8300Center Pivot without Finger GuardOutswing</t>
  </si>
  <si>
    <t>GT8300Swing ClearOutswing</t>
  </si>
  <si>
    <t>GT8310Butt Hinge/Offset PivotOutswing</t>
  </si>
  <si>
    <t>GT8310Center Pivot with Finger GuardOutswing</t>
  </si>
  <si>
    <t>GT8310Center Pivot without Finger GuardOutswing</t>
  </si>
  <si>
    <t>GT8310Swing ClearOutswing</t>
  </si>
  <si>
    <t>GT8350Butt Hinge/Offset PivotOutswing</t>
  </si>
  <si>
    <t>GT8350Center Pivot with Finger GuardOutswing</t>
  </si>
  <si>
    <t>GT8350Center Pivot without Finger GuardOutswing</t>
  </si>
  <si>
    <t>GT8350Swing ClearOutswing</t>
  </si>
  <si>
    <t>GT8400Butt Hinge/Offset PivotOutswing</t>
  </si>
  <si>
    <t>GT8400Center Pivot with Finger GuardOutswing</t>
  </si>
  <si>
    <t>GT8400Center Pivot without Finger GuardOutswing</t>
  </si>
  <si>
    <t>GT8400Swing ClearOutswing</t>
  </si>
  <si>
    <t>GT8500Butt Hinge/Offset PivotOutswing</t>
  </si>
  <si>
    <t>GT8500Center Pivot with Finger GuardOutswing</t>
  </si>
  <si>
    <t>GT8500Center Pivot without Finger GuardOutswing</t>
  </si>
  <si>
    <t>GT8500Swing ClearOutswing</t>
  </si>
  <si>
    <t>GT8710Butt Hinge/Offset PivotOutswing</t>
  </si>
  <si>
    <t>GT8710Center Pivot with Finger GuardOutswing</t>
  </si>
  <si>
    <t>GT8710Center Pivot without Finger GuardOutswing</t>
  </si>
  <si>
    <t>GT8710Swing ClearOutswing</t>
  </si>
  <si>
    <t>LHINvsOUT</t>
  </si>
  <si>
    <t>RHINvsOUT</t>
  </si>
  <si>
    <t>Model_Pivot Type_INvsOUT</t>
  </si>
  <si>
    <t>-</t>
  </si>
  <si>
    <t>Inswing Reveal Limit (Long Track)</t>
  </si>
  <si>
    <t>?</t>
  </si>
  <si>
    <t>21.25</t>
  </si>
  <si>
    <t>Min. LH DO (Inswing Arm)</t>
  </si>
  <si>
    <t>Min. RH DO (Inswing Arm)</t>
  </si>
  <si>
    <t>Min DO (Single)</t>
  </si>
  <si>
    <t>Min DO (Pair)</t>
  </si>
  <si>
    <t>Min DO (Opman)</t>
  </si>
  <si>
    <t>Min. DO (Outswing Arm)</t>
  </si>
  <si>
    <t>A-00545</t>
  </si>
  <si>
    <t>A-00639</t>
  </si>
  <si>
    <t>A-00726</t>
  </si>
  <si>
    <t>A-60545</t>
  </si>
  <si>
    <t>A-70545</t>
  </si>
  <si>
    <t>A-60639</t>
  </si>
  <si>
    <t>A-70639</t>
  </si>
  <si>
    <t>A-60726</t>
  </si>
  <si>
    <t>A-70726</t>
  </si>
  <si>
    <t>A-60722</t>
  </si>
  <si>
    <t>A-00722</t>
  </si>
  <si>
    <t>A-70722</t>
  </si>
  <si>
    <t>A-00425</t>
  </si>
  <si>
    <t>A-00426</t>
  </si>
  <si>
    <t>A-60425</t>
  </si>
  <si>
    <t>A-70425</t>
  </si>
  <si>
    <t>A-80425</t>
  </si>
  <si>
    <t>A-60426</t>
  </si>
  <si>
    <t>A-70426</t>
  </si>
  <si>
    <t>A-00675</t>
  </si>
  <si>
    <t>A-00676</t>
  </si>
  <si>
    <t>A-00677</t>
  </si>
  <si>
    <t>A-00678</t>
  </si>
  <si>
    <t>A-60675</t>
  </si>
  <si>
    <t>A-60676</t>
  </si>
  <si>
    <t>A-60677</t>
  </si>
  <si>
    <t>A-60678</t>
  </si>
  <si>
    <t>A-70675</t>
  </si>
  <si>
    <t>A-70676</t>
  </si>
  <si>
    <t>A-70677</t>
  </si>
  <si>
    <t>A-70678</t>
  </si>
  <si>
    <t>A-00658</t>
  </si>
  <si>
    <t>A-00671</t>
  </si>
  <si>
    <t>A-00672</t>
  </si>
  <si>
    <t>A-00673</t>
  </si>
  <si>
    <t>A-60658</t>
  </si>
  <si>
    <t>A-60671</t>
  </si>
  <si>
    <t>A-60672</t>
  </si>
  <si>
    <t>A-60673</t>
  </si>
  <si>
    <t>A-70658</t>
  </si>
  <si>
    <t>A-70671</t>
  </si>
  <si>
    <t>A-70672</t>
  </si>
  <si>
    <t>A-70673</t>
  </si>
  <si>
    <t>A-00481</t>
  </si>
  <si>
    <t>A-70481</t>
  </si>
  <si>
    <t>LHHand</t>
  </si>
  <si>
    <t>RHHand</t>
  </si>
  <si>
    <t>LH</t>
  </si>
  <si>
    <t>RH</t>
  </si>
  <si>
    <t>Handing Harness LH</t>
  </si>
  <si>
    <t>Handing Harness RH</t>
  </si>
  <si>
    <t>Riser Block, Stacked Boards</t>
  </si>
  <si>
    <t>A-00984</t>
  </si>
  <si>
    <t>T-00027</t>
  </si>
  <si>
    <t>Tape, Stacked Boards</t>
  </si>
  <si>
    <t>M-01828</t>
  </si>
  <si>
    <t>Min DO Stacked Boards</t>
  </si>
  <si>
    <t>Screw - Opus to Riser Block, Stacked Boards</t>
  </si>
  <si>
    <t>Stacked Boards</t>
  </si>
  <si>
    <t>A-00458</t>
  </si>
  <si>
    <t>A-60458</t>
  </si>
  <si>
    <t>A-70458</t>
  </si>
  <si>
    <t>Version 6</t>
  </si>
  <si>
    <t>A-00427</t>
  </si>
  <si>
    <t>A-00428</t>
  </si>
  <si>
    <t>A-60427</t>
  </si>
  <si>
    <t>A-60428</t>
  </si>
  <si>
    <t>A-70427</t>
  </si>
  <si>
    <t>RH Panel Arm Dbl Egr</t>
  </si>
  <si>
    <t>LH Panel Arm Dbl Egr</t>
  </si>
  <si>
    <t>BOM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</si>
</sst>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5" borderId="1">
      <alignment horizontal="center"/>
    </xf>
  </cellStyleXfs>
  <cellXfs count="189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1" fillId="0" borderId="1" xfId="0" applyFont="1" applyFill="1" applyBorder="1" applyAlignment="1">
      <alignment wrapText="1"/>
    </xf>
    <xf numFmtId="0" fontId="2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0" fillId="0" borderId="0" xfId="0" applyBorder="1"/>
    <xf numFmtId="0" fontId="1" fillId="0" borderId="0" xfId="0" applyFont="1" applyBorder="1"/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Alignment="1">
      <alignment horizontal="left" indent="1"/>
    </xf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0" fillId="2" borderId="1" xfId="0" applyFill="1" applyBorder="1"/>
    <xf numFmtId="49" fontId="0" fillId="0" borderId="0" xfId="0" applyNumberFormat="1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0" fillId="0" borderId="14" xfId="0" applyNumberFormat="1" applyFont="1" applyBorder="1" applyAlignment="1">
      <alignment horizontal="center" wrapText="1"/>
    </xf>
    <xf numFmtId="0" fontId="2" fillId="2" borderId="15" xfId="0" applyNumberFormat="1" applyFont="1" applyFill="1" applyBorder="1" applyAlignment="1">
      <alignment horizontal="center" wrapText="1"/>
    </xf>
    <xf numFmtId="0" fontId="2" fillId="0" borderId="15" xfId="0" applyNumberFormat="1" applyFont="1" applyFill="1" applyBorder="1" applyAlignment="1">
      <alignment horizontal="center" wrapText="1"/>
    </xf>
    <xf numFmtId="0" fontId="0" fillId="0" borderId="13" xfId="0" applyNumberFormat="1" applyFont="1" applyFill="1" applyBorder="1" applyAlignment="1">
      <alignment horizontal="center" wrapText="1"/>
    </xf>
    <xf numFmtId="0" fontId="0" fillId="0" borderId="13" xfId="0" applyNumberFormat="1" applyFont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1" fillId="0" borderId="20" xfId="0" applyFont="1" applyBorder="1"/>
    <xf numFmtId="0" fontId="0" fillId="0" borderId="10" xfId="0" applyFill="1" applyBorder="1" applyAlignment="1">
      <alignment horizontal="left" inden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49" fontId="0" fillId="0" borderId="10" xfId="0" applyNumberFormat="1" applyFill="1" applyBorder="1" applyAlignment="1">
      <alignment horizontal="left" indent="1"/>
    </xf>
    <xf numFmtId="49" fontId="0" fillId="0" borderId="8" xfId="0" applyNumberFormat="1" applyFill="1" applyBorder="1" applyAlignment="1">
      <alignment horizontal="left" indent="1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wrapText="1"/>
    </xf>
    <xf numFmtId="22" fontId="0" fillId="0" borderId="12" xfId="0" applyNumberFormat="1" applyFill="1" applyBorder="1" applyAlignment="1">
      <alignment horizontal="left" indent="1"/>
    </xf>
    <xf numFmtId="0" fontId="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6" borderId="1" xfId="0" applyFill="1" applyBorder="1"/>
    <xf numFmtId="0" fontId="5" fillId="5" borderId="1" xfId="1">
      <alignment horizontal="center"/>
    </xf>
    <xf numFmtId="0" fontId="5" fillId="5" borderId="1" xfId="1" applyAlignment="1">
      <alignment horizontal="right"/>
    </xf>
    <xf numFmtId="0" fontId="0" fillId="0" borderId="1" xfId="0" applyBorder="1" applyAlignment="1">
      <alignment wrapText="1"/>
    </xf>
    <xf numFmtId="49" fontId="0" fillId="0" borderId="26" xfId="0" applyNumberFormat="1" applyFont="1" applyFill="1" applyBorder="1" applyAlignment="1">
      <alignment horizontal="center" wrapText="1"/>
    </xf>
    <xf numFmtId="0" fontId="0" fillId="0" borderId="27" xfId="0" applyBorder="1" applyAlignment="1">
      <alignment wrapText="1"/>
    </xf>
    <xf numFmtId="49" fontId="0" fillId="0" borderId="28" xfId="0" applyNumberFormat="1" applyFont="1" applyFill="1" applyBorder="1" applyAlignment="1">
      <alignment horizontal="center" wrapText="1"/>
    </xf>
    <xf numFmtId="0" fontId="0" fillId="0" borderId="29" xfId="0" applyBorder="1" applyAlignment="1">
      <alignment wrapText="1"/>
    </xf>
    <xf numFmtId="49" fontId="0" fillId="0" borderId="30" xfId="0" applyNumberFormat="1" applyFont="1" applyFill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33" xfId="0" applyBorder="1" applyAlignment="1">
      <alignment wrapText="1"/>
    </xf>
    <xf numFmtId="0" fontId="0" fillId="4" borderId="2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/>
    <xf numFmtId="0" fontId="0" fillId="7" borderId="1" xfId="0" applyFill="1" applyBorder="1"/>
    <xf numFmtId="0" fontId="0" fillId="0" borderId="3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5" fillId="4" borderId="1" xfId="1" applyFill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5" fillId="4" borderId="1" xfId="1" applyFill="1">
      <alignment horizontal="center"/>
    </xf>
    <xf numFmtId="0" fontId="0" fillId="0" borderId="33" xfId="0" applyBorder="1"/>
    <xf numFmtId="0" fontId="0" fillId="6" borderId="33" xfId="0" applyFill="1" applyBorder="1"/>
    <xf numFmtId="0" fontId="0" fillId="4" borderId="33" xfId="0" applyFill="1" applyBorder="1"/>
    <xf numFmtId="0" fontId="0" fillId="3" borderId="33" xfId="0" applyFill="1" applyBorder="1" applyAlignment="1">
      <alignment horizontal="center"/>
    </xf>
    <xf numFmtId="0" fontId="0" fillId="3" borderId="34" xfId="0" applyFill="1" applyBorder="1"/>
    <xf numFmtId="0" fontId="0" fillId="3" borderId="36" xfId="0" applyFill="1" applyBorder="1" applyAlignment="1">
      <alignment horizontal="center"/>
    </xf>
    <xf numFmtId="0" fontId="2" fillId="0" borderId="37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5" fillId="5" borderId="33" xfId="1" applyBorder="1">
      <alignment horizontal="center"/>
    </xf>
    <xf numFmtId="0" fontId="0" fillId="4" borderId="33" xfId="0" applyFill="1" applyBorder="1" applyAlignment="1">
      <alignment horizontal="center"/>
    </xf>
    <xf numFmtId="0" fontId="0" fillId="2" borderId="33" xfId="0" applyFill="1" applyBorder="1"/>
    <xf numFmtId="0" fontId="0" fillId="0" borderId="5" xfId="0" applyBorder="1"/>
    <xf numFmtId="0" fontId="0" fillId="6" borderId="5" xfId="0" applyFill="1" applyBorder="1"/>
    <xf numFmtId="0" fontId="0" fillId="3" borderId="5" xfId="0" applyFill="1" applyBorder="1" applyAlignment="1">
      <alignment horizontal="center"/>
    </xf>
    <xf numFmtId="0" fontId="2" fillId="0" borderId="39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9" borderId="1" xfId="0" applyFill="1" applyBorder="1"/>
    <xf numFmtId="0" fontId="0" fillId="9" borderId="33" xfId="0" applyFill="1" applyBorder="1"/>
    <xf numFmtId="0" fontId="0" fillId="7" borderId="33" xfId="0" applyFill="1" applyBorder="1"/>
    <xf numFmtId="0" fontId="0" fillId="7" borderId="5" xfId="0" applyFill="1" applyBorder="1"/>
    <xf numFmtId="0" fontId="5" fillId="5" borderId="5" xfId="1" applyBorder="1" applyAlignment="1">
      <alignment horizontal="right"/>
    </xf>
    <xf numFmtId="0" fontId="0" fillId="3" borderId="38" xfId="0" applyFill="1" applyBorder="1" applyAlignment="1">
      <alignment horizontal="center"/>
    </xf>
    <xf numFmtId="0" fontId="0" fillId="0" borderId="0" xfId="0" applyAlignment="1"/>
    <xf numFmtId="0" fontId="1" fillId="0" borderId="23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0" fillId="0" borderId="41" xfId="0" applyBorder="1"/>
    <xf numFmtId="0" fontId="0" fillId="0" borderId="42" xfId="0" applyBorder="1" applyAlignment="1">
      <alignment wrapText="1"/>
    </xf>
    <xf numFmtId="0" fontId="0" fillId="0" borderId="26" xfId="0" applyBorder="1"/>
    <xf numFmtId="0" fontId="0" fillId="0" borderId="28" xfId="0" applyBorder="1"/>
    <xf numFmtId="0" fontId="0" fillId="0" borderId="0" xfId="0" applyBorder="1" applyAlignment="1">
      <alignment wrapText="1"/>
    </xf>
    <xf numFmtId="49" fontId="0" fillId="0" borderId="41" xfId="0" applyNumberFormat="1" applyFont="1" applyFill="1" applyBorder="1" applyAlignment="1">
      <alignment horizontal="left" wrapText="1"/>
    </xf>
    <xf numFmtId="49" fontId="0" fillId="0" borderId="26" xfId="0" applyNumberFormat="1" applyFont="1" applyFill="1" applyBorder="1" applyAlignment="1">
      <alignment horizontal="left" wrapText="1"/>
    </xf>
    <xf numFmtId="49" fontId="0" fillId="0" borderId="1" xfId="0" applyNumberFormat="1" applyFont="1" applyFill="1" applyBorder="1" applyAlignment="1">
      <alignment horizontal="center" wrapText="1"/>
    </xf>
    <xf numFmtId="49" fontId="0" fillId="0" borderId="28" xfId="0" applyNumberFormat="1" applyFont="1" applyFill="1" applyBorder="1" applyAlignment="1">
      <alignment horizontal="left" wrapText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0" fontId="0" fillId="0" borderId="43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ont="1" applyFill="1" applyBorder="1" applyAlignment="1">
      <alignment horizontal="center" wrapText="1"/>
    </xf>
    <xf numFmtId="0" fontId="0" fillId="8" borderId="27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4" borderId="27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29" xfId="0" applyFill="1" applyBorder="1" applyAlignment="1">
      <alignment horizontal="center" wrapText="1"/>
    </xf>
    <xf numFmtId="0" fontId="1" fillId="0" borderId="44" xfId="0" applyFont="1" applyBorder="1" applyAlignment="1">
      <alignment horizontal="left" vertical="center"/>
    </xf>
    <xf numFmtId="0" fontId="1" fillId="0" borderId="45" xfId="0" applyFont="1" applyBorder="1" applyAlignment="1">
      <alignment horizontal="center" vertical="center" wrapText="1"/>
    </xf>
    <xf numFmtId="0" fontId="1" fillId="0" borderId="45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wrapText="1"/>
    </xf>
    <xf numFmtId="0" fontId="0" fillId="0" borderId="27" xfId="0" applyFill="1" applyBorder="1" applyAlignment="1">
      <alignment horizontal="center" wrapText="1"/>
    </xf>
    <xf numFmtId="0" fontId="0" fillId="0" borderId="43" xfId="0" applyBorder="1" applyAlignment="1">
      <alignment wrapText="1"/>
    </xf>
    <xf numFmtId="0" fontId="5" fillId="5" borderId="1" xfId="1" applyBorder="1">
      <alignment horizontal="center"/>
    </xf>
    <xf numFmtId="0" fontId="5" fillId="4" borderId="1" xfId="1" applyFill="1" applyBorder="1">
      <alignment horizontal="center"/>
    </xf>
    <xf numFmtId="0" fontId="0" fillId="0" borderId="1" xfId="0" quotePrefix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4" borderId="1" xfId="1" applyFill="1" applyBorder="1" applyAlignment="1">
      <alignment horizontal="center"/>
    </xf>
    <xf numFmtId="0" fontId="5" fillId="4" borderId="27" xfId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3" xfId="0" applyBorder="1"/>
    <xf numFmtId="0" fontId="0" fillId="6" borderId="13" xfId="0" applyFill="1" applyBorder="1"/>
    <xf numFmtId="0" fontId="0" fillId="3" borderId="13" xfId="0" applyFill="1" applyBorder="1" applyAlignment="1">
      <alignment horizontal="center"/>
    </xf>
    <xf numFmtId="0" fontId="5" fillId="5" borderId="46" xfId="1" applyBorder="1" applyAlignment="1">
      <alignment horizontal="right"/>
    </xf>
    <xf numFmtId="0" fontId="0" fillId="3" borderId="14" xfId="0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3" xfId="0" applyFill="1" applyBorder="1"/>
    <xf numFmtId="0" fontId="0" fillId="3" borderId="40" xfId="0" applyFill="1" applyBorder="1"/>
    <xf numFmtId="0" fontId="5" fillId="5" borderId="5" xfId="1" applyBorder="1">
      <alignment horizontal="center"/>
    </xf>
    <xf numFmtId="0" fontId="0" fillId="0" borderId="0" xfId="0" applyNumberFormat="1" applyAlignment="1">
      <alignment wrapText="1"/>
    </xf>
    <xf numFmtId="0" fontId="0" fillId="10" borderId="1" xfId="0" applyFill="1" applyBorder="1"/>
    <xf numFmtId="0" fontId="0" fillId="10" borderId="13" xfId="0" applyFill="1" applyBorder="1"/>
    <xf numFmtId="0" fontId="0" fillId="10" borderId="5" xfId="0" applyFill="1" applyBorder="1"/>
    <xf numFmtId="0" fontId="0" fillId="4" borderId="43" xfId="0" applyFill="1" applyBorder="1" applyAlignment="1">
      <alignment horizontal="center" wrapText="1"/>
    </xf>
    <xf numFmtId="0" fontId="5" fillId="5" borderId="27" xfId="1" applyBorder="1">
      <alignment horizontal="center"/>
    </xf>
    <xf numFmtId="0" fontId="5" fillId="4" borderId="27" xfId="1" applyFill="1" applyBorder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</cellXfs>
  <cellStyles count="2">
    <cellStyle name="Formula" xfId="1" xr:uid="{9CE13102-0CE9-453B-AECD-719B89D4C0E3}"/>
    <cellStyle name="Normal" xfId="0" builtinId="0"/>
  </cellStyles>
  <dxfs count="46"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FD41"/>
      <color rgb="FFD0A6F2"/>
      <color rgb="FFE4CCF8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9525</xdr:rowOff>
        </xdr:from>
        <xdr:to>
          <xdr:col>2</xdr:col>
          <xdr:colOff>914400</xdr:colOff>
          <xdr:row>5</xdr:row>
          <xdr:rowOff>0</xdr:rowOff>
        </xdr:to>
        <xdr:sp macro="" textlink="">
          <xdr:nvSpPr>
            <xdr:cNvPr id="2049" name="Button 1" descr="Create BOM for Entire U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9525</xdr:rowOff>
        </xdr:from>
        <xdr:to>
          <xdr:col>2</xdr:col>
          <xdr:colOff>904875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10</xdr:row>
          <xdr:rowOff>9525</xdr:rowOff>
        </xdr:from>
        <xdr:to>
          <xdr:col>2</xdr:col>
          <xdr:colOff>914400</xdr:colOff>
          <xdr:row>13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Order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14</xdr:row>
          <xdr:rowOff>0</xdr:rowOff>
        </xdr:from>
        <xdr:to>
          <xdr:col>2</xdr:col>
          <xdr:colOff>914400</xdr:colOff>
          <xdr:row>16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Order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13</xdr:row>
          <xdr:rowOff>171450</xdr:rowOff>
        </xdr:from>
        <xdr:to>
          <xdr:col>5</xdr:col>
          <xdr:colOff>1143000</xdr:colOff>
          <xdr:row>16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Audit Documents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ett Hausler" id="{DE413B32-E024-4CA3-BC89-62ECDE6F09B4}" userId="S::bhausler@nabcoentrances.com::36d67cd5-68be-4491-a79e-bb4d5df3fa5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0" dT="2019-12-09T19:22:05.68" personId="{DE413B32-E024-4CA3-BC89-62ECDE6F09B4}" id="{2CA6A159-4EC2-41A4-A4E7-9B046CF41EF9}">
    <text>overlap for pivot jamb is used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03487-3B6D-4463-AE77-6A647CD11F51}">
  <sheetPr codeName="Sheet2"/>
  <dimension ref="A1:I25"/>
  <sheetViews>
    <sheetView tabSelected="1" workbookViewId="0">
      <selection activeCell="J21" sqref="J21"/>
    </sheetView>
  </sheetViews>
  <sheetFormatPr defaultRowHeight="15" x14ac:dyDescent="0.25"/>
  <cols>
    <col min="1" max="1" width="21.42578125" style="16" bestFit="1" customWidth="1"/>
    <col min="2" max="2" width="33.5703125" style="16" customWidth="1"/>
    <col min="3" max="3" width="15.5703125" customWidth="1"/>
    <col min="4" max="4" width="12.42578125" style="12" hidden="1" customWidth="1"/>
    <col min="5" max="5" width="13.5703125" style="12" hidden="1" customWidth="1"/>
    <col min="6" max="6" width="20.85546875" style="12" hidden="1" customWidth="1"/>
    <col min="7" max="7" width="17.42578125" style="12" hidden="1" customWidth="1"/>
    <col min="8" max="8" width="31.85546875" hidden="1" customWidth="1"/>
    <col min="9" max="9" width="20.42578125" hidden="1" customWidth="1"/>
  </cols>
  <sheetData>
    <row r="1" spans="1:9" ht="30" customHeight="1" thickBot="1" x14ac:dyDescent="0.3">
      <c r="A1" s="42" t="s">
        <v>731</v>
      </c>
      <c r="D1" s="43" t="s">
        <v>5</v>
      </c>
      <c r="E1" s="43" t="s">
        <v>391</v>
      </c>
      <c r="F1" s="43" t="s">
        <v>404</v>
      </c>
      <c r="G1" s="43" t="s">
        <v>7</v>
      </c>
      <c r="H1" s="45" t="s">
        <v>383</v>
      </c>
      <c r="I1" s="45" t="s">
        <v>416</v>
      </c>
    </row>
    <row r="2" spans="1:9" x14ac:dyDescent="0.25">
      <c r="A2" s="17" t="s">
        <v>22</v>
      </c>
      <c r="B2" s="41"/>
      <c r="D2" s="13"/>
      <c r="E2" s="13"/>
      <c r="F2" s="13"/>
      <c r="G2" s="13"/>
    </row>
    <row r="3" spans="1:9" x14ac:dyDescent="0.25">
      <c r="A3" s="18" t="s">
        <v>23</v>
      </c>
      <c r="B3" s="40"/>
      <c r="D3" s="22" t="s">
        <v>367</v>
      </c>
      <c r="E3" s="22" t="s">
        <v>392</v>
      </c>
      <c r="F3" s="12" t="s">
        <v>403</v>
      </c>
      <c r="G3" s="22" t="s">
        <v>31</v>
      </c>
      <c r="H3" t="s">
        <v>384</v>
      </c>
      <c r="I3" t="s">
        <v>403</v>
      </c>
    </row>
    <row r="4" spans="1:9" x14ac:dyDescent="0.25">
      <c r="A4" s="18" t="s">
        <v>24</v>
      </c>
      <c r="B4" s="35"/>
      <c r="D4" s="22" t="s">
        <v>368</v>
      </c>
      <c r="E4" s="22" t="s">
        <v>393</v>
      </c>
      <c r="F4" t="s">
        <v>396</v>
      </c>
      <c r="G4" s="22" t="s">
        <v>32</v>
      </c>
      <c r="H4" t="s">
        <v>385</v>
      </c>
      <c r="I4" t="s">
        <v>425</v>
      </c>
    </row>
    <row r="5" spans="1:9" x14ac:dyDescent="0.25">
      <c r="A5" s="18" t="s">
        <v>26</v>
      </c>
      <c r="B5" s="35"/>
      <c r="D5" s="22" t="s">
        <v>369</v>
      </c>
      <c r="E5" s="22" t="s">
        <v>394</v>
      </c>
      <c r="F5" t="s">
        <v>398</v>
      </c>
      <c r="G5" s="22" t="s">
        <v>33</v>
      </c>
      <c r="H5" t="s">
        <v>386</v>
      </c>
      <c r="I5" t="s">
        <v>426</v>
      </c>
    </row>
    <row r="6" spans="1:9" x14ac:dyDescent="0.25">
      <c r="A6" s="18" t="s">
        <v>27</v>
      </c>
      <c r="B6" s="40"/>
      <c r="D6" s="22" t="s">
        <v>370</v>
      </c>
      <c r="E6" s="22" t="s">
        <v>389</v>
      </c>
      <c r="F6" t="s">
        <v>395</v>
      </c>
      <c r="G6" s="22" t="s">
        <v>34</v>
      </c>
      <c r="H6" t="s">
        <v>442</v>
      </c>
      <c r="I6" t="s">
        <v>423</v>
      </c>
    </row>
    <row r="7" spans="1:9" x14ac:dyDescent="0.25">
      <c r="A7" s="18" t="s">
        <v>28</v>
      </c>
      <c r="B7" s="40"/>
      <c r="D7" s="22" t="s">
        <v>371</v>
      </c>
      <c r="E7" s="22" t="s">
        <v>390</v>
      </c>
      <c r="F7" t="s">
        <v>397</v>
      </c>
      <c r="G7" s="22" t="s">
        <v>35</v>
      </c>
      <c r="I7" t="s">
        <v>424</v>
      </c>
    </row>
    <row r="8" spans="1:9" x14ac:dyDescent="0.25">
      <c r="A8" s="18" t="s">
        <v>29</v>
      </c>
      <c r="B8" s="40"/>
      <c r="D8" s="22" t="s">
        <v>372</v>
      </c>
      <c r="E8" s="22"/>
      <c r="F8" t="s">
        <v>399</v>
      </c>
      <c r="G8" s="22" t="s">
        <v>36</v>
      </c>
    </row>
    <row r="9" spans="1:9" x14ac:dyDescent="0.25">
      <c r="A9" s="18" t="s">
        <v>5</v>
      </c>
      <c r="B9" s="35" t="s">
        <v>379</v>
      </c>
      <c r="D9" s="22" t="s">
        <v>373</v>
      </c>
      <c r="E9" s="22"/>
      <c r="F9" t="s">
        <v>400</v>
      </c>
      <c r="G9" s="22" t="s">
        <v>37</v>
      </c>
    </row>
    <row r="10" spans="1:9" x14ac:dyDescent="0.25">
      <c r="A10" s="16" t="s">
        <v>391</v>
      </c>
      <c r="B10" s="35" t="s">
        <v>392</v>
      </c>
      <c r="D10" s="22" t="s">
        <v>374</v>
      </c>
      <c r="E10" s="22"/>
      <c r="F10" t="s">
        <v>401</v>
      </c>
      <c r="G10" s="22" t="s">
        <v>361</v>
      </c>
    </row>
    <row r="11" spans="1:9" x14ac:dyDescent="0.25">
      <c r="A11" s="18" t="s">
        <v>440</v>
      </c>
      <c r="B11" s="35" t="s">
        <v>396</v>
      </c>
      <c r="D11" s="22" t="s">
        <v>375</v>
      </c>
      <c r="E11" s="22"/>
      <c r="F11" t="s">
        <v>402</v>
      </c>
    </row>
    <row r="12" spans="1:9" x14ac:dyDescent="0.25">
      <c r="A12" s="16" t="s">
        <v>441</v>
      </c>
      <c r="B12" s="35" t="s">
        <v>403</v>
      </c>
      <c r="D12" s="22" t="s">
        <v>376</v>
      </c>
      <c r="E12" s="22"/>
      <c r="F12"/>
    </row>
    <row r="13" spans="1:9" x14ac:dyDescent="0.25">
      <c r="A13" s="16" t="s">
        <v>387</v>
      </c>
      <c r="B13" s="35" t="b">
        <v>0</v>
      </c>
      <c r="D13" s="22" t="s">
        <v>378</v>
      </c>
      <c r="E13" s="22"/>
      <c r="F13"/>
    </row>
    <row r="14" spans="1:9" x14ac:dyDescent="0.25">
      <c r="A14" s="18" t="s">
        <v>7</v>
      </c>
      <c r="B14" s="35" t="s">
        <v>31</v>
      </c>
      <c r="D14" s="22" t="s">
        <v>379</v>
      </c>
      <c r="E14" s="22"/>
      <c r="F14"/>
    </row>
    <row r="15" spans="1:9" x14ac:dyDescent="0.25">
      <c r="A15" s="18" t="s">
        <v>438</v>
      </c>
      <c r="B15" s="35"/>
      <c r="D15" s="22" t="s">
        <v>366</v>
      </c>
      <c r="E15" s="22"/>
      <c r="F15"/>
    </row>
    <row r="16" spans="1:9" x14ac:dyDescent="0.25">
      <c r="A16" s="16" t="s">
        <v>439</v>
      </c>
      <c r="B16" s="35"/>
      <c r="E16" s="22"/>
      <c r="F16"/>
    </row>
    <row r="17" spans="1:6" x14ac:dyDescent="0.25">
      <c r="A17" s="16" t="s">
        <v>380</v>
      </c>
      <c r="B17" s="19">
        <v>1.75</v>
      </c>
      <c r="E17" s="22"/>
      <c r="F17"/>
    </row>
    <row r="18" spans="1:6" x14ac:dyDescent="0.25">
      <c r="A18" s="18" t="s">
        <v>381</v>
      </c>
      <c r="B18" s="19">
        <v>1.75</v>
      </c>
      <c r="E18" s="22"/>
      <c r="F18"/>
    </row>
    <row r="19" spans="1:6" x14ac:dyDescent="0.25">
      <c r="A19" s="16" t="s">
        <v>388</v>
      </c>
      <c r="B19" s="19">
        <v>0</v>
      </c>
      <c r="E19" s="22"/>
      <c r="F19"/>
    </row>
    <row r="20" spans="1:6" x14ac:dyDescent="0.25">
      <c r="A20" s="18" t="s">
        <v>382</v>
      </c>
      <c r="B20" s="19"/>
      <c r="F20"/>
    </row>
    <row r="21" spans="1:6" x14ac:dyDescent="0.25">
      <c r="A21" s="18" t="s">
        <v>383</v>
      </c>
      <c r="B21" s="19" t="s">
        <v>384</v>
      </c>
      <c r="F21"/>
    </row>
    <row r="22" spans="1:6" x14ac:dyDescent="0.25">
      <c r="A22" s="18" t="s">
        <v>535</v>
      </c>
      <c r="B22" s="19"/>
      <c r="F22"/>
    </row>
    <row r="23" spans="1:6" x14ac:dyDescent="0.25">
      <c r="A23" s="18" t="s">
        <v>536</v>
      </c>
      <c r="B23" s="19"/>
    </row>
    <row r="24" spans="1:6" x14ac:dyDescent="0.25">
      <c r="A24" s="18" t="s">
        <v>416</v>
      </c>
      <c r="B24" s="19" t="s">
        <v>403</v>
      </c>
    </row>
    <row r="25" spans="1:6" ht="15.75" thickBot="1" x14ac:dyDescent="0.3">
      <c r="A25" s="20" t="s">
        <v>25</v>
      </c>
      <c r="B25" s="44">
        <f ca="1">NOW()</f>
        <v>43854.430045717592</v>
      </c>
    </row>
  </sheetData>
  <dataValidations count="8">
    <dataValidation type="list" showInputMessage="1" showErrorMessage="1" sqref="B14" xr:uid="{46E3FE1F-3128-468D-9C7D-6683F967E383}">
      <formula1>$G$2:$G$10</formula1>
    </dataValidation>
    <dataValidation type="list" allowBlank="1" showInputMessage="1" showErrorMessage="1" sqref="B13" xr:uid="{21E9869D-8A62-482D-B28F-411ACC561C6B}">
      <formula1>"TRUE,FALSE"</formula1>
    </dataValidation>
    <dataValidation type="list" allowBlank="1" showInputMessage="1" showErrorMessage="1" sqref="B21" xr:uid="{8A2BF8C1-3CE5-424E-B656-F2982D0C7FE9}">
      <formula1>$H$3:$H$6</formula1>
    </dataValidation>
    <dataValidation type="list" allowBlank="1" showInputMessage="1" showErrorMessage="1" sqref="B10" xr:uid="{6C96D6F3-F820-446F-BE60-301BA25E71EB}">
      <formula1>$E$2:$E$6</formula1>
    </dataValidation>
    <dataValidation type="list" showInputMessage="1" showErrorMessage="1" sqref="B11" xr:uid="{1E1B13E2-78CA-44C2-8459-110C77E98231}">
      <formula1>$F$2:$F$11</formula1>
    </dataValidation>
    <dataValidation type="list" allowBlank="1" showInputMessage="1" showErrorMessage="1" sqref="B12" xr:uid="{9467CF03-4635-4194-8B1E-638C5D069624}">
      <formula1>$F$2:$F$11</formula1>
    </dataValidation>
    <dataValidation type="list" allowBlank="1" showInputMessage="1" showErrorMessage="1" sqref="B24" xr:uid="{A99FC824-9E51-4AEB-AE60-B9FE76F7E8EE}">
      <formula1>$I$2:$I$7</formula1>
    </dataValidation>
    <dataValidation type="list" showInputMessage="1" showErrorMessage="1" sqref="B9" xr:uid="{3CD0D454-CDE4-46FF-ADF9-47CB1F75A695}">
      <formula1>$D$2:$D$15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ckRun" altText="Create BOM for Entire Unit">
                <anchor moveWithCells="1" sizeWithCells="1">
                  <from>
                    <xdr:col>2</xdr:col>
                    <xdr:colOff>123825</xdr:colOff>
                    <xdr:row>2</xdr:row>
                    <xdr:rowOff>9525</xdr:rowOff>
                  </from>
                  <to>
                    <xdr:col>2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114300</xdr:colOff>
                    <xdr:row>6</xdr:row>
                    <xdr:rowOff>9525</xdr:rowOff>
                  </from>
                  <to>
                    <xdr:col>2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OpenOrderLog">
                <anchor moveWithCells="1" sizeWithCells="1">
                  <from>
                    <xdr:col>2</xdr:col>
                    <xdr:colOff>123825</xdr:colOff>
                    <xdr:row>10</xdr:row>
                    <xdr:rowOff>9525</xdr:rowOff>
                  </from>
                  <to>
                    <xdr:col>2</xdr:col>
                    <xdr:colOff>914400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LoadOrderInfo">
                <anchor moveWithCells="1" sizeWithCells="1">
                  <from>
                    <xdr:col>2</xdr:col>
                    <xdr:colOff>123825</xdr:colOff>
                    <xdr:row>14</xdr:row>
                    <xdr:rowOff>0</xdr:rowOff>
                  </from>
                  <to>
                    <xdr:col>2</xdr:col>
                    <xdr:colOff>914400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OMAudit">
                <anchor moveWithCells="1" sizeWithCells="1">
                  <from>
                    <xdr:col>5</xdr:col>
                    <xdr:colOff>352425</xdr:colOff>
                    <xdr:row>13</xdr:row>
                    <xdr:rowOff>171450</xdr:rowOff>
                  </from>
                  <to>
                    <xdr:col>5</xdr:col>
                    <xdr:colOff>1143000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32B2-783C-4A7E-8B25-B5F90ACF02AA}">
  <sheetPr codeName="Sheet5"/>
  <dimension ref="A1:AA105"/>
  <sheetViews>
    <sheetView zoomScale="85" zoomScaleNormal="85" workbookViewId="0">
      <selection activeCell="B13" sqref="B13"/>
    </sheetView>
  </sheetViews>
  <sheetFormatPr defaultRowHeight="15" x14ac:dyDescent="0.25"/>
  <cols>
    <col min="1" max="1" width="23.5703125" style="36" bestFit="1" customWidth="1"/>
    <col min="2" max="2" width="14.140625" style="36" customWidth="1"/>
    <col min="3" max="3" width="4.85546875" style="36" customWidth="1"/>
    <col min="4" max="4" width="19.5703125" style="36" bestFit="1" customWidth="1"/>
    <col min="5" max="5" width="15.42578125" style="36" customWidth="1"/>
    <col min="6" max="6" width="9" style="36" bestFit="1" customWidth="1"/>
    <col min="7" max="7" width="11" style="36" customWidth="1"/>
    <col min="8" max="8" width="54.28515625" style="68" customWidth="1"/>
    <col min="9" max="9" width="7.85546875" style="36" bestFit="1" customWidth="1"/>
    <col min="10" max="10" width="7.7109375" style="36" bestFit="1" customWidth="1"/>
    <col min="11" max="11" width="13.7109375" style="36" customWidth="1"/>
    <col min="12" max="12" width="8.85546875" style="36" bestFit="1" customWidth="1"/>
    <col min="13" max="13" width="7.85546875" style="36" bestFit="1" customWidth="1"/>
    <col min="14" max="14" width="11.140625" style="36" bestFit="1" customWidth="1"/>
    <col min="15" max="16" width="16" style="36" bestFit="1" customWidth="1"/>
    <col min="17" max="17" width="17.28515625" style="36" bestFit="1" customWidth="1"/>
    <col min="18" max="18" width="16.5703125" style="36" bestFit="1" customWidth="1"/>
    <col min="19" max="19" width="18.85546875" style="36" bestFit="1" customWidth="1"/>
    <col min="20" max="21" width="16.85546875" style="36" bestFit="1" customWidth="1"/>
    <col min="22" max="22" width="8.85546875" style="36" bestFit="1" customWidth="1"/>
    <col min="23" max="23" width="8.5703125" style="36" bestFit="1" customWidth="1"/>
    <col min="24" max="25" width="11.28515625" style="36" bestFit="1" customWidth="1"/>
    <col min="26" max="26" width="8.85546875" style="145" bestFit="1" customWidth="1"/>
    <col min="27" max="27" width="8.5703125" style="145" bestFit="1" customWidth="1"/>
    <col min="28" max="16384" width="9.140625" style="36"/>
  </cols>
  <sheetData>
    <row r="1" spans="1:27" s="99" customFormat="1" ht="30" customHeight="1" thickBot="1" x14ac:dyDescent="0.3">
      <c r="A1" s="100" t="s">
        <v>365</v>
      </c>
      <c r="B1" s="101"/>
      <c r="C1" s="102"/>
      <c r="D1" s="103"/>
      <c r="E1" s="104" t="s">
        <v>430</v>
      </c>
      <c r="F1" s="105" t="s">
        <v>476</v>
      </c>
      <c r="G1" s="106" t="s">
        <v>431</v>
      </c>
      <c r="H1" s="132" t="s">
        <v>658</v>
      </c>
      <c r="I1" s="133" t="s">
        <v>665</v>
      </c>
      <c r="J1" s="133" t="s">
        <v>666</v>
      </c>
      <c r="K1" s="134" t="s">
        <v>725</v>
      </c>
      <c r="L1" s="133" t="s">
        <v>667</v>
      </c>
      <c r="M1" s="133" t="s">
        <v>544</v>
      </c>
      <c r="N1" s="134" t="s">
        <v>545</v>
      </c>
      <c r="O1" s="134" t="s">
        <v>546</v>
      </c>
      <c r="P1" s="134" t="s">
        <v>547</v>
      </c>
      <c r="Q1" s="134" t="s">
        <v>548</v>
      </c>
      <c r="R1" s="134" t="s">
        <v>660</v>
      </c>
      <c r="S1" s="134" t="s">
        <v>668</v>
      </c>
      <c r="T1" s="135" t="s">
        <v>663</v>
      </c>
      <c r="U1" s="134" t="s">
        <v>664</v>
      </c>
      <c r="V1" s="135" t="s">
        <v>540</v>
      </c>
      <c r="W1" s="135" t="s">
        <v>538</v>
      </c>
      <c r="X1" s="135" t="s">
        <v>737</v>
      </c>
      <c r="Y1" s="135" t="s">
        <v>738</v>
      </c>
      <c r="Z1" s="135" t="s">
        <v>541</v>
      </c>
      <c r="AA1" s="135" t="s">
        <v>539</v>
      </c>
    </row>
    <row r="2" spans="1:27" x14ac:dyDescent="0.25">
      <c r="A2" s="36" t="s">
        <v>427</v>
      </c>
      <c r="B2" s="68" t="str">
        <f>LOOKUP(Model,$D$2:$D$16,$E$2:$E$16)</f>
        <v>Sideload</v>
      </c>
      <c r="D2" s="55" t="s">
        <v>366</v>
      </c>
      <c r="E2" s="57"/>
      <c r="F2" s="62">
        <v>20</v>
      </c>
      <c r="G2" s="62" t="s">
        <v>433</v>
      </c>
      <c r="H2" s="112" t="s">
        <v>552</v>
      </c>
      <c r="I2" s="116">
        <v>30</v>
      </c>
      <c r="J2" s="116">
        <v>60</v>
      </c>
      <c r="K2" s="123" t="s">
        <v>659</v>
      </c>
      <c r="L2" s="117" t="s">
        <v>659</v>
      </c>
      <c r="M2" s="116">
        <v>11</v>
      </c>
      <c r="N2" s="116" t="s">
        <v>659</v>
      </c>
      <c r="O2" s="116" t="s">
        <v>659</v>
      </c>
      <c r="P2" s="116" t="s">
        <v>659</v>
      </c>
      <c r="Q2" s="116">
        <v>5</v>
      </c>
      <c r="R2" s="116" t="s">
        <v>659</v>
      </c>
      <c r="S2" s="116" t="s">
        <v>659</v>
      </c>
      <c r="T2" s="116">
        <v>30</v>
      </c>
      <c r="U2" s="116">
        <v>30</v>
      </c>
      <c r="V2" s="163"/>
      <c r="W2" s="163"/>
      <c r="X2" s="163"/>
      <c r="Y2" s="163"/>
      <c r="Z2" s="116"/>
      <c r="AA2" s="118"/>
    </row>
    <row r="3" spans="1:27" x14ac:dyDescent="0.25">
      <c r="A3" s="36" t="s">
        <v>475</v>
      </c>
      <c r="B3" s="68">
        <f>IF(Finish="Dark Bronze (313)",7,IF(Finish="Black",8,6))</f>
        <v>6</v>
      </c>
      <c r="D3" s="51" t="s">
        <v>367</v>
      </c>
      <c r="E3" s="50" t="s">
        <v>428</v>
      </c>
      <c r="F3" s="63">
        <v>500</v>
      </c>
      <c r="G3" s="63" t="s">
        <v>432</v>
      </c>
      <c r="H3" s="113" t="s">
        <v>604</v>
      </c>
      <c r="I3" s="119">
        <v>27</v>
      </c>
      <c r="J3" s="119">
        <v>54</v>
      </c>
      <c r="K3" s="120" t="s">
        <v>659</v>
      </c>
      <c r="L3" s="120" t="s">
        <v>659</v>
      </c>
      <c r="M3" s="119">
        <v>11</v>
      </c>
      <c r="N3" s="119">
        <v>15</v>
      </c>
      <c r="O3" s="119">
        <v>9</v>
      </c>
      <c r="P3" s="127">
        <v>5</v>
      </c>
      <c r="Q3" s="119" t="s">
        <v>659</v>
      </c>
      <c r="R3" s="119" t="s">
        <v>659</v>
      </c>
      <c r="S3" s="119">
        <v>27</v>
      </c>
      <c r="T3" s="119" t="s">
        <v>659</v>
      </c>
      <c r="U3" s="119" t="s">
        <v>659</v>
      </c>
      <c r="V3" s="128"/>
      <c r="W3" s="128"/>
      <c r="X3" s="128"/>
      <c r="Y3" s="128"/>
      <c r="Z3" s="119"/>
      <c r="AA3" s="121"/>
    </row>
    <row r="4" spans="1:27" x14ac:dyDescent="0.25">
      <c r="A4" s="36" t="s">
        <v>476</v>
      </c>
      <c r="B4" s="68">
        <f>LOOKUP(Model,$D$2:$D$16,$F$2:$F$16)</f>
        <v>710</v>
      </c>
      <c r="D4" s="51" t="s">
        <v>371</v>
      </c>
      <c r="E4" s="50" t="s">
        <v>428</v>
      </c>
      <c r="F4" s="63">
        <v>500</v>
      </c>
      <c r="G4" s="63" t="s">
        <v>432</v>
      </c>
      <c r="H4" s="113" t="s">
        <v>553</v>
      </c>
      <c r="I4" s="119">
        <v>34</v>
      </c>
      <c r="J4" s="119">
        <v>68</v>
      </c>
      <c r="K4" s="120" t="s">
        <v>659</v>
      </c>
      <c r="L4" s="120" t="s">
        <v>659</v>
      </c>
      <c r="M4" s="119">
        <v>14.75</v>
      </c>
      <c r="N4" s="119" t="s">
        <v>659</v>
      </c>
      <c r="O4" s="119" t="s">
        <v>659</v>
      </c>
      <c r="P4" s="119" t="s">
        <v>659</v>
      </c>
      <c r="Q4" s="119">
        <v>3</v>
      </c>
      <c r="R4" s="119" t="s">
        <v>659</v>
      </c>
      <c r="S4" s="119" t="s">
        <v>659</v>
      </c>
      <c r="T4" s="119">
        <v>34</v>
      </c>
      <c r="U4" s="119">
        <v>34</v>
      </c>
      <c r="V4" s="128"/>
      <c r="W4" s="128"/>
      <c r="X4" s="128"/>
      <c r="Y4" s="128"/>
      <c r="Z4" s="119"/>
      <c r="AA4" s="121"/>
    </row>
    <row r="5" spans="1:27" x14ac:dyDescent="0.25">
      <c r="A5" s="36" t="s">
        <v>533</v>
      </c>
      <c r="B5" s="68" t="b">
        <f>IF(Pivot="Center Pivot with Finger Guard",TRUE,FALSE)</f>
        <v>0</v>
      </c>
      <c r="D5" s="51" t="s">
        <v>369</v>
      </c>
      <c r="E5" s="50" t="s">
        <v>428</v>
      </c>
      <c r="F5" s="63">
        <v>500</v>
      </c>
      <c r="G5" s="63" t="s">
        <v>433</v>
      </c>
      <c r="H5" s="113" t="s">
        <v>605</v>
      </c>
      <c r="I5" s="119">
        <v>31</v>
      </c>
      <c r="J5" s="119">
        <v>62</v>
      </c>
      <c r="K5" s="119" t="s">
        <v>659</v>
      </c>
      <c r="L5" s="119" t="s">
        <v>659</v>
      </c>
      <c r="M5" s="119">
        <v>14.75</v>
      </c>
      <c r="N5" s="119">
        <v>18.75</v>
      </c>
      <c r="O5" s="119">
        <v>9</v>
      </c>
      <c r="P5" s="127">
        <v>5</v>
      </c>
      <c r="Q5" s="119" t="s">
        <v>659</v>
      </c>
      <c r="R5" s="119" t="s">
        <v>659</v>
      </c>
      <c r="S5" s="119">
        <v>31</v>
      </c>
      <c r="T5" s="119" t="s">
        <v>659</v>
      </c>
      <c r="U5" s="119" t="s">
        <v>659</v>
      </c>
      <c r="V5" s="128"/>
      <c r="W5" s="128"/>
      <c r="X5" s="128"/>
      <c r="Y5" s="128"/>
      <c r="Z5" s="119"/>
      <c r="AA5" s="121"/>
    </row>
    <row r="6" spans="1:27" x14ac:dyDescent="0.25">
      <c r="A6" s="36" t="s">
        <v>534</v>
      </c>
      <c r="B6" s="36" t="str">
        <f>LOOKUP(Model,$D$2:$D$16,$G$2:$G$16)</f>
        <v>CU</v>
      </c>
      <c r="D6" s="51" t="s">
        <v>373</v>
      </c>
      <c r="E6" s="50" t="s">
        <v>428</v>
      </c>
      <c r="F6" s="63">
        <v>500</v>
      </c>
      <c r="G6" s="63" t="s">
        <v>433</v>
      </c>
      <c r="H6" s="113" t="s">
        <v>554</v>
      </c>
      <c r="I6" s="119">
        <v>33</v>
      </c>
      <c r="J6" s="119">
        <v>66</v>
      </c>
      <c r="K6" s="119" t="s">
        <v>659</v>
      </c>
      <c r="L6" s="119" t="s">
        <v>659</v>
      </c>
      <c r="M6" s="119">
        <v>13.75</v>
      </c>
      <c r="N6" s="119" t="s">
        <v>659</v>
      </c>
      <c r="O6" s="119" t="s">
        <v>659</v>
      </c>
      <c r="P6" s="119" t="s">
        <v>659</v>
      </c>
      <c r="Q6" s="119">
        <v>3</v>
      </c>
      <c r="R6" s="119" t="s">
        <v>659</v>
      </c>
      <c r="S6" s="119" t="s">
        <v>659</v>
      </c>
      <c r="T6" s="119">
        <v>33</v>
      </c>
      <c r="U6" s="119">
        <v>33</v>
      </c>
      <c r="V6" s="128"/>
      <c r="W6" s="128"/>
      <c r="X6" s="128"/>
      <c r="Y6" s="128"/>
      <c r="Z6" s="119"/>
      <c r="AA6" s="121"/>
    </row>
    <row r="7" spans="1:27" x14ac:dyDescent="0.25">
      <c r="A7" s="36" t="s">
        <v>656</v>
      </c>
      <c r="B7" s="36" t="str">
        <f>LOOKUP(LHPanel,D18:D26,E18:E26)</f>
        <v>Outswing</v>
      </c>
      <c r="D7" s="51" t="s">
        <v>375</v>
      </c>
      <c r="E7" s="50" t="s">
        <v>428</v>
      </c>
      <c r="F7" s="63">
        <v>500</v>
      </c>
      <c r="G7" s="63" t="s">
        <v>433</v>
      </c>
      <c r="H7" s="113" t="s">
        <v>606</v>
      </c>
      <c r="I7" s="119">
        <v>30</v>
      </c>
      <c r="J7" s="119">
        <v>60</v>
      </c>
      <c r="K7" s="119" t="s">
        <v>659</v>
      </c>
      <c r="L7" s="119" t="s">
        <v>659</v>
      </c>
      <c r="M7" s="119">
        <v>13.75</v>
      </c>
      <c r="N7" s="120">
        <v>17.75</v>
      </c>
      <c r="O7" s="120">
        <v>9</v>
      </c>
      <c r="P7" s="127">
        <v>5</v>
      </c>
      <c r="Q7" s="119" t="s">
        <v>659</v>
      </c>
      <c r="R7" s="119" t="s">
        <v>659</v>
      </c>
      <c r="S7" s="119">
        <v>30</v>
      </c>
      <c r="T7" s="119" t="s">
        <v>659</v>
      </c>
      <c r="U7" s="119" t="s">
        <v>659</v>
      </c>
      <c r="V7" s="128"/>
      <c r="W7" s="128"/>
      <c r="X7" s="128"/>
      <c r="Y7" s="128"/>
      <c r="Z7" s="119"/>
      <c r="AA7" s="121"/>
    </row>
    <row r="8" spans="1:27" x14ac:dyDescent="0.25">
      <c r="A8" s="36" t="s">
        <v>657</v>
      </c>
      <c r="B8" s="36" t="str">
        <f>LOOKUP(RHPanel,D18:D26,E18:E26)</f>
        <v>n/a</v>
      </c>
      <c r="D8" s="51" t="s">
        <v>376</v>
      </c>
      <c r="E8" s="50" t="s">
        <v>429</v>
      </c>
      <c r="F8" s="63">
        <v>710</v>
      </c>
      <c r="G8" s="63" t="s">
        <v>433</v>
      </c>
      <c r="H8" s="113" t="s">
        <v>555</v>
      </c>
      <c r="I8" s="122">
        <v>30</v>
      </c>
      <c r="J8" s="122">
        <v>60</v>
      </c>
      <c r="K8" s="122" t="s">
        <v>659</v>
      </c>
      <c r="L8" s="122" t="s">
        <v>659</v>
      </c>
      <c r="M8" s="122">
        <v>11</v>
      </c>
      <c r="N8" s="124" t="s">
        <v>659</v>
      </c>
      <c r="O8" s="124" t="s">
        <v>659</v>
      </c>
      <c r="P8" s="125" t="s">
        <v>659</v>
      </c>
      <c r="Q8" s="122">
        <v>5</v>
      </c>
      <c r="R8" s="122" t="s">
        <v>659</v>
      </c>
      <c r="S8" s="122" t="s">
        <v>659</v>
      </c>
      <c r="T8" s="122">
        <v>30</v>
      </c>
      <c r="U8" s="122">
        <v>30</v>
      </c>
      <c r="V8" s="122"/>
      <c r="W8" s="122"/>
      <c r="X8" s="122"/>
      <c r="Y8" s="122"/>
      <c r="Z8" s="122"/>
      <c r="AA8" s="126"/>
    </row>
    <row r="9" spans="1:27" x14ac:dyDescent="0.25">
      <c r="A9" s="36" t="s">
        <v>714</v>
      </c>
      <c r="B9" s="36" t="str">
        <f>LOOKUP(LHPanel,D18:D26,F18:F26)</f>
        <v>LH</v>
      </c>
      <c r="D9" s="51" t="s">
        <v>377</v>
      </c>
      <c r="E9" s="50" t="s">
        <v>428</v>
      </c>
      <c r="F9" s="63">
        <v>710</v>
      </c>
      <c r="G9" s="63" t="s">
        <v>432</v>
      </c>
      <c r="H9" s="113" t="s">
        <v>607</v>
      </c>
      <c r="I9" s="122">
        <v>27</v>
      </c>
      <c r="J9" s="122">
        <v>54</v>
      </c>
      <c r="K9" s="122" t="s">
        <v>659</v>
      </c>
      <c r="L9" s="122" t="s">
        <v>659</v>
      </c>
      <c r="M9" s="122">
        <v>11</v>
      </c>
      <c r="N9" s="124">
        <v>15</v>
      </c>
      <c r="O9" s="124">
        <v>9</v>
      </c>
      <c r="P9" s="125">
        <v>5</v>
      </c>
      <c r="Q9" s="122" t="s">
        <v>659</v>
      </c>
      <c r="R9" s="122" t="s">
        <v>659</v>
      </c>
      <c r="S9" s="122">
        <v>27</v>
      </c>
      <c r="T9" s="122" t="s">
        <v>659</v>
      </c>
      <c r="U9" s="122" t="s">
        <v>659</v>
      </c>
      <c r="V9" s="122"/>
      <c r="W9" s="122"/>
      <c r="X9" s="122"/>
      <c r="Y9" s="122"/>
      <c r="Z9" s="122"/>
      <c r="AA9" s="126"/>
    </row>
    <row r="10" spans="1:27" x14ac:dyDescent="0.25">
      <c r="A10" s="36" t="s">
        <v>715</v>
      </c>
      <c r="B10" s="36" t="str">
        <f>LOOKUP(RHPanel,D18:D26,F18:F26)</f>
        <v>n/a</v>
      </c>
      <c r="D10" s="51" t="s">
        <v>408</v>
      </c>
      <c r="E10" s="50" t="s">
        <v>428</v>
      </c>
      <c r="F10" s="63">
        <v>710</v>
      </c>
      <c r="G10" s="63" t="s">
        <v>433</v>
      </c>
      <c r="H10" s="113" t="s">
        <v>556</v>
      </c>
      <c r="I10" s="119">
        <v>36</v>
      </c>
      <c r="J10" s="119">
        <v>74</v>
      </c>
      <c r="K10" s="119">
        <v>62</v>
      </c>
      <c r="L10" s="119">
        <v>52</v>
      </c>
      <c r="M10" s="119">
        <v>7.25</v>
      </c>
      <c r="N10" s="120" t="s">
        <v>659</v>
      </c>
      <c r="O10" s="120" t="s">
        <v>659</v>
      </c>
      <c r="P10" s="114" t="s">
        <v>659</v>
      </c>
      <c r="Q10" s="119" t="s">
        <v>659</v>
      </c>
      <c r="R10" s="128" t="s">
        <v>661</v>
      </c>
      <c r="S10" s="119" t="s">
        <v>659</v>
      </c>
      <c r="T10" s="119" t="s">
        <v>659</v>
      </c>
      <c r="U10" s="119" t="s">
        <v>659</v>
      </c>
      <c r="V10" s="127" t="s">
        <v>669</v>
      </c>
      <c r="W10" s="127" t="s">
        <v>669</v>
      </c>
      <c r="X10" s="127" t="s">
        <v>669</v>
      </c>
      <c r="Y10" s="127" t="s">
        <v>669</v>
      </c>
      <c r="Z10" s="119" t="s">
        <v>659</v>
      </c>
      <c r="AA10" s="121" t="s">
        <v>659</v>
      </c>
    </row>
    <row r="11" spans="1:27" x14ac:dyDescent="0.25">
      <c r="A11" s="36" t="s">
        <v>727</v>
      </c>
      <c r="B11" s="159" t="str">
        <f>IF(AND(OR(Application="Sim Pair",Application="Double Egress",Application="Dual"),HeaderLength&lt;=LOOKUP(Model&amp;Pivot&amp;LHINvsOUT,'Lookup Tables'!$H$2:$H$105,'Lookup Tables'!$J$2:$J$105)),"TRUE","FALSE")</f>
        <v>FALSE</v>
      </c>
      <c r="D11" s="51" t="s">
        <v>368</v>
      </c>
      <c r="E11" s="50" t="s">
        <v>429</v>
      </c>
      <c r="F11" s="63">
        <v>500</v>
      </c>
      <c r="G11" s="63" t="s">
        <v>432</v>
      </c>
      <c r="H11" s="113" t="s">
        <v>608</v>
      </c>
      <c r="I11" s="119">
        <v>36</v>
      </c>
      <c r="J11" s="119">
        <v>74</v>
      </c>
      <c r="K11" s="119">
        <v>62</v>
      </c>
      <c r="L11" s="119">
        <v>52</v>
      </c>
      <c r="M11" s="119">
        <v>7.25</v>
      </c>
      <c r="N11" s="120">
        <v>13.625</v>
      </c>
      <c r="O11" s="119">
        <v>11</v>
      </c>
      <c r="P11" s="114" t="s">
        <v>662</v>
      </c>
      <c r="Q11" s="119" t="s">
        <v>659</v>
      </c>
      <c r="R11" s="119" t="s">
        <v>659</v>
      </c>
      <c r="S11" s="119" t="s">
        <v>659</v>
      </c>
      <c r="T11" s="119" t="s">
        <v>659</v>
      </c>
      <c r="U11" s="119" t="s">
        <v>659</v>
      </c>
      <c r="V11" s="127" t="s">
        <v>669</v>
      </c>
      <c r="W11" s="127" t="s">
        <v>669</v>
      </c>
      <c r="X11" s="127" t="s">
        <v>669</v>
      </c>
      <c r="Y11" s="127" t="s">
        <v>669</v>
      </c>
      <c r="Z11" s="119" t="s">
        <v>659</v>
      </c>
      <c r="AA11" s="121" t="s">
        <v>659</v>
      </c>
    </row>
    <row r="12" spans="1:27" x14ac:dyDescent="0.25">
      <c r="A12" s="36" t="s">
        <v>739</v>
      </c>
      <c r="B12" s="68" t="b">
        <v>1</v>
      </c>
      <c r="D12" s="51" t="s">
        <v>378</v>
      </c>
      <c r="E12" s="50" t="s">
        <v>429</v>
      </c>
      <c r="F12" s="63">
        <v>710</v>
      </c>
      <c r="G12" s="63" t="s">
        <v>432</v>
      </c>
      <c r="H12" s="113" t="s">
        <v>557</v>
      </c>
      <c r="I12" s="119">
        <v>37</v>
      </c>
      <c r="J12" s="119">
        <v>76</v>
      </c>
      <c r="K12" s="119">
        <v>64</v>
      </c>
      <c r="L12" s="119">
        <v>54</v>
      </c>
      <c r="M12" s="119">
        <v>8.25</v>
      </c>
      <c r="N12" s="120" t="s">
        <v>659</v>
      </c>
      <c r="O12" s="119" t="s">
        <v>659</v>
      </c>
      <c r="P12" s="119" t="s">
        <v>659</v>
      </c>
      <c r="Q12" s="119" t="s">
        <v>659</v>
      </c>
      <c r="R12" s="119" t="s">
        <v>659</v>
      </c>
      <c r="S12" s="119" t="s">
        <v>659</v>
      </c>
      <c r="T12" s="119" t="s">
        <v>659</v>
      </c>
      <c r="U12" s="119" t="s">
        <v>659</v>
      </c>
      <c r="V12" s="127" t="s">
        <v>728</v>
      </c>
      <c r="W12" s="127" t="s">
        <v>728</v>
      </c>
      <c r="X12" s="127" t="s">
        <v>728</v>
      </c>
      <c r="Y12" s="127" t="s">
        <v>728</v>
      </c>
      <c r="Z12" s="119" t="s">
        <v>659</v>
      </c>
      <c r="AA12" s="121" t="s">
        <v>659</v>
      </c>
    </row>
    <row r="13" spans="1:27" x14ac:dyDescent="0.25">
      <c r="D13" s="51" t="s">
        <v>372</v>
      </c>
      <c r="E13" s="50" t="s">
        <v>429</v>
      </c>
      <c r="F13" s="63">
        <v>500</v>
      </c>
      <c r="G13" s="63" t="s">
        <v>432</v>
      </c>
      <c r="H13" s="113" t="s">
        <v>609</v>
      </c>
      <c r="I13" s="119">
        <f>I12</f>
        <v>37</v>
      </c>
      <c r="J13" s="119">
        <f t="shared" ref="J13:U13" si="0">J12</f>
        <v>76</v>
      </c>
      <c r="K13" s="119">
        <f t="shared" si="0"/>
        <v>64</v>
      </c>
      <c r="L13" s="119">
        <f t="shared" si="0"/>
        <v>54</v>
      </c>
      <c r="M13" s="119">
        <f t="shared" si="0"/>
        <v>8.25</v>
      </c>
      <c r="N13" s="119" t="str">
        <f t="shared" si="0"/>
        <v>-</v>
      </c>
      <c r="O13" s="119" t="str">
        <f t="shared" si="0"/>
        <v>-</v>
      </c>
      <c r="P13" s="119" t="str">
        <f t="shared" si="0"/>
        <v>-</v>
      </c>
      <c r="Q13" s="119" t="str">
        <f t="shared" si="0"/>
        <v>-</v>
      </c>
      <c r="R13" s="119" t="str">
        <f t="shared" si="0"/>
        <v>-</v>
      </c>
      <c r="S13" s="119" t="str">
        <f t="shared" si="0"/>
        <v>-</v>
      </c>
      <c r="T13" s="119" t="str">
        <f t="shared" si="0"/>
        <v>-</v>
      </c>
      <c r="U13" s="119" t="str">
        <f t="shared" si="0"/>
        <v>-</v>
      </c>
      <c r="V13" s="127" t="s">
        <v>728</v>
      </c>
      <c r="W13" s="127" t="s">
        <v>728</v>
      </c>
      <c r="X13" s="127" t="s">
        <v>728</v>
      </c>
      <c r="Y13" s="127" t="s">
        <v>728</v>
      </c>
      <c r="Z13" s="119" t="s">
        <v>659</v>
      </c>
      <c r="AA13" s="121" t="s">
        <v>659</v>
      </c>
    </row>
    <row r="14" spans="1:27" x14ac:dyDescent="0.25">
      <c r="D14" s="51" t="s">
        <v>370</v>
      </c>
      <c r="E14" s="50" t="s">
        <v>429</v>
      </c>
      <c r="F14" s="63">
        <v>500</v>
      </c>
      <c r="G14" s="63" t="s">
        <v>433</v>
      </c>
      <c r="H14" s="113" t="s">
        <v>558</v>
      </c>
      <c r="I14" s="119">
        <v>36</v>
      </c>
      <c r="J14" s="119">
        <v>74</v>
      </c>
      <c r="K14" s="119">
        <v>62</v>
      </c>
      <c r="L14" s="119">
        <v>52</v>
      </c>
      <c r="M14" s="119">
        <v>7.25</v>
      </c>
      <c r="N14" s="120" t="s">
        <v>659</v>
      </c>
      <c r="O14" s="119" t="s">
        <v>659</v>
      </c>
      <c r="P14" s="119" t="s">
        <v>659</v>
      </c>
      <c r="Q14" s="119" t="s">
        <v>659</v>
      </c>
      <c r="R14" s="119" t="s">
        <v>659</v>
      </c>
      <c r="S14" s="119" t="s">
        <v>659</v>
      </c>
      <c r="T14" s="119" t="s">
        <v>659</v>
      </c>
      <c r="U14" s="119" t="s">
        <v>659</v>
      </c>
      <c r="V14" s="127" t="s">
        <v>728</v>
      </c>
      <c r="W14" s="127" t="s">
        <v>728</v>
      </c>
      <c r="X14" s="127" t="s">
        <v>728</v>
      </c>
      <c r="Y14" s="127" t="s">
        <v>728</v>
      </c>
      <c r="Z14" s="119" t="s">
        <v>659</v>
      </c>
      <c r="AA14" s="121" t="s">
        <v>659</v>
      </c>
    </row>
    <row r="15" spans="1:27" x14ac:dyDescent="0.25">
      <c r="D15" s="51" t="s">
        <v>374</v>
      </c>
      <c r="E15" s="50" t="s">
        <v>429</v>
      </c>
      <c r="F15" s="63">
        <v>500</v>
      </c>
      <c r="G15" s="63" t="s">
        <v>433</v>
      </c>
      <c r="H15" s="113" t="s">
        <v>610</v>
      </c>
      <c r="I15" s="119">
        <f>I14</f>
        <v>36</v>
      </c>
      <c r="J15" s="119">
        <f t="shared" ref="J15:U15" si="1">J14</f>
        <v>74</v>
      </c>
      <c r="K15" s="119">
        <f t="shared" si="1"/>
        <v>62</v>
      </c>
      <c r="L15" s="119">
        <f t="shared" si="1"/>
        <v>52</v>
      </c>
      <c r="M15" s="119">
        <f t="shared" si="1"/>
        <v>7.25</v>
      </c>
      <c r="N15" s="120" t="str">
        <f t="shared" si="1"/>
        <v>-</v>
      </c>
      <c r="O15" s="119" t="str">
        <f t="shared" si="1"/>
        <v>-</v>
      </c>
      <c r="P15" s="119" t="str">
        <f t="shared" si="1"/>
        <v>-</v>
      </c>
      <c r="Q15" s="119" t="str">
        <f t="shared" si="1"/>
        <v>-</v>
      </c>
      <c r="R15" s="119" t="str">
        <f t="shared" si="1"/>
        <v>-</v>
      </c>
      <c r="S15" s="119" t="str">
        <f t="shared" si="1"/>
        <v>-</v>
      </c>
      <c r="T15" s="119" t="str">
        <f t="shared" si="1"/>
        <v>-</v>
      </c>
      <c r="U15" s="119" t="str">
        <f t="shared" si="1"/>
        <v>-</v>
      </c>
      <c r="V15" s="127" t="s">
        <v>728</v>
      </c>
      <c r="W15" s="127" t="s">
        <v>728</v>
      </c>
      <c r="X15" s="127" t="s">
        <v>728</v>
      </c>
      <c r="Y15" s="127" t="s">
        <v>728</v>
      </c>
      <c r="Z15" s="119" t="s">
        <v>659</v>
      </c>
      <c r="AA15" s="121" t="s">
        <v>659</v>
      </c>
    </row>
    <row r="16" spans="1:27" ht="15.75" thickBot="1" x14ac:dyDescent="0.3">
      <c r="D16" s="53" t="s">
        <v>379</v>
      </c>
      <c r="E16" s="56" t="s">
        <v>429</v>
      </c>
      <c r="F16" s="64">
        <v>710</v>
      </c>
      <c r="G16" s="64" t="s">
        <v>433</v>
      </c>
      <c r="H16" s="113" t="s">
        <v>559</v>
      </c>
      <c r="I16" s="128">
        <v>36</v>
      </c>
      <c r="J16" s="128">
        <v>74</v>
      </c>
      <c r="K16" s="128">
        <v>62</v>
      </c>
      <c r="L16" s="128">
        <v>52</v>
      </c>
      <c r="M16" s="128">
        <v>7.25</v>
      </c>
      <c r="N16" s="67" t="s">
        <v>659</v>
      </c>
      <c r="O16" s="67" t="s">
        <v>659</v>
      </c>
      <c r="P16" s="136" t="s">
        <v>659</v>
      </c>
      <c r="Q16" s="128" t="s">
        <v>659</v>
      </c>
      <c r="R16" s="128" t="s">
        <v>661</v>
      </c>
      <c r="S16" s="128" t="s">
        <v>659</v>
      </c>
      <c r="T16" s="128" t="s">
        <v>659</v>
      </c>
      <c r="U16" s="128" t="s">
        <v>659</v>
      </c>
      <c r="V16" s="122" t="s">
        <v>669</v>
      </c>
      <c r="W16" s="122" t="s">
        <v>669</v>
      </c>
      <c r="X16" s="122" t="s">
        <v>669</v>
      </c>
      <c r="Y16" s="122" t="s">
        <v>669</v>
      </c>
      <c r="Z16" s="128" t="s">
        <v>659</v>
      </c>
      <c r="AA16" s="129" t="s">
        <v>659</v>
      </c>
    </row>
    <row r="17" spans="4:27" ht="15.75" thickBot="1" x14ac:dyDescent="0.3">
      <c r="H17" s="113" t="s">
        <v>611</v>
      </c>
      <c r="I17" s="128">
        <v>36</v>
      </c>
      <c r="J17" s="128">
        <v>74</v>
      </c>
      <c r="K17" s="128">
        <v>62</v>
      </c>
      <c r="L17" s="128">
        <v>52</v>
      </c>
      <c r="M17" s="128">
        <v>7.25</v>
      </c>
      <c r="N17" s="67">
        <v>13.625</v>
      </c>
      <c r="O17" s="128">
        <v>11</v>
      </c>
      <c r="P17" s="136" t="s">
        <v>662</v>
      </c>
      <c r="Q17" s="128" t="s">
        <v>659</v>
      </c>
      <c r="R17" s="128" t="s">
        <v>659</v>
      </c>
      <c r="S17" s="128" t="s">
        <v>659</v>
      </c>
      <c r="T17" s="128" t="s">
        <v>659</v>
      </c>
      <c r="U17" s="128" t="s">
        <v>659</v>
      </c>
      <c r="V17" s="122" t="s">
        <v>669</v>
      </c>
      <c r="W17" s="122" t="s">
        <v>669</v>
      </c>
      <c r="X17" s="122" t="s">
        <v>669</v>
      </c>
      <c r="Y17" s="122" t="s">
        <v>669</v>
      </c>
      <c r="Z17" s="128" t="s">
        <v>659</v>
      </c>
      <c r="AA17" s="129" t="s">
        <v>659</v>
      </c>
    </row>
    <row r="18" spans="4:27" x14ac:dyDescent="0.25">
      <c r="D18" s="107" t="s">
        <v>395</v>
      </c>
      <c r="E18" s="138" t="s">
        <v>550</v>
      </c>
      <c r="F18" s="108" t="s">
        <v>716</v>
      </c>
      <c r="H18" s="113" t="s">
        <v>560</v>
      </c>
      <c r="I18" s="119">
        <f>I10</f>
        <v>36</v>
      </c>
      <c r="J18" s="119">
        <f t="shared" ref="J18:U18" si="2">J10</f>
        <v>74</v>
      </c>
      <c r="K18" s="119">
        <f t="shared" si="2"/>
        <v>62</v>
      </c>
      <c r="L18" s="119">
        <f t="shared" si="2"/>
        <v>52</v>
      </c>
      <c r="M18" s="119">
        <f t="shared" si="2"/>
        <v>7.25</v>
      </c>
      <c r="N18" s="119" t="str">
        <f t="shared" si="2"/>
        <v>-</v>
      </c>
      <c r="O18" s="119" t="str">
        <f t="shared" si="2"/>
        <v>-</v>
      </c>
      <c r="P18" s="119" t="str">
        <f t="shared" si="2"/>
        <v>-</v>
      </c>
      <c r="Q18" s="119" t="str">
        <f t="shared" si="2"/>
        <v>-</v>
      </c>
      <c r="R18" s="128" t="str">
        <f t="shared" si="2"/>
        <v>?</v>
      </c>
      <c r="S18" s="119" t="str">
        <f t="shared" si="2"/>
        <v>-</v>
      </c>
      <c r="T18" s="119" t="str">
        <f t="shared" ref="T18" si="3">T10</f>
        <v>-</v>
      </c>
      <c r="U18" s="119" t="str">
        <f t="shared" si="2"/>
        <v>-</v>
      </c>
      <c r="V18" s="127" t="str">
        <f t="shared" ref="V18:AA18" si="4">V10</f>
        <v>A-00545</v>
      </c>
      <c r="W18" s="127" t="str">
        <f t="shared" si="4"/>
        <v>A-00545</v>
      </c>
      <c r="X18" s="127" t="str">
        <f t="shared" ref="X18:Y18" si="5">X10</f>
        <v>A-00545</v>
      </c>
      <c r="Y18" s="127" t="str">
        <f t="shared" si="5"/>
        <v>A-00545</v>
      </c>
      <c r="Z18" s="119" t="str">
        <f t="shared" si="4"/>
        <v>-</v>
      </c>
      <c r="AA18" s="121" t="str">
        <f t="shared" si="4"/>
        <v>-</v>
      </c>
    </row>
    <row r="19" spans="4:27" x14ac:dyDescent="0.25">
      <c r="D19" s="109" t="s">
        <v>401</v>
      </c>
      <c r="E19" s="50" t="s">
        <v>550</v>
      </c>
      <c r="F19" s="52" t="s">
        <v>716</v>
      </c>
      <c r="H19" s="113" t="s">
        <v>612</v>
      </c>
      <c r="I19" s="119">
        <f t="shared" ref="I19:I25" si="6">I11</f>
        <v>36</v>
      </c>
      <c r="J19" s="119">
        <f t="shared" ref="J19:AA19" si="7">J11</f>
        <v>74</v>
      </c>
      <c r="K19" s="119">
        <f t="shared" si="7"/>
        <v>62</v>
      </c>
      <c r="L19" s="119">
        <f t="shared" si="7"/>
        <v>52</v>
      </c>
      <c r="M19" s="119">
        <f t="shared" si="7"/>
        <v>7.25</v>
      </c>
      <c r="N19" s="119">
        <f t="shared" si="7"/>
        <v>13.625</v>
      </c>
      <c r="O19" s="119">
        <f t="shared" si="7"/>
        <v>11</v>
      </c>
      <c r="P19" s="119" t="str">
        <f t="shared" si="7"/>
        <v>21.25</v>
      </c>
      <c r="Q19" s="119" t="str">
        <f t="shared" si="7"/>
        <v>-</v>
      </c>
      <c r="R19" s="119" t="str">
        <f t="shared" si="7"/>
        <v>-</v>
      </c>
      <c r="S19" s="119" t="str">
        <f t="shared" si="7"/>
        <v>-</v>
      </c>
      <c r="T19" s="119" t="str">
        <f t="shared" ref="T19" si="8">T11</f>
        <v>-</v>
      </c>
      <c r="U19" s="119" t="str">
        <f t="shared" si="7"/>
        <v>-</v>
      </c>
      <c r="V19" s="127" t="str">
        <f t="shared" si="7"/>
        <v>A-00545</v>
      </c>
      <c r="W19" s="127" t="str">
        <f t="shared" si="7"/>
        <v>A-00545</v>
      </c>
      <c r="X19" s="127" t="str">
        <f t="shared" ref="X19:Y19" si="9">X11</f>
        <v>A-00545</v>
      </c>
      <c r="Y19" s="127" t="str">
        <f t="shared" si="9"/>
        <v>A-00545</v>
      </c>
      <c r="Z19" s="119" t="str">
        <f t="shared" si="7"/>
        <v>-</v>
      </c>
      <c r="AA19" s="121" t="str">
        <f t="shared" si="7"/>
        <v>-</v>
      </c>
    </row>
    <row r="20" spans="4:27" x14ac:dyDescent="0.25">
      <c r="D20" s="109" t="s">
        <v>399</v>
      </c>
      <c r="E20" s="50" t="s">
        <v>549</v>
      </c>
      <c r="F20" s="52" t="s">
        <v>716</v>
      </c>
      <c r="G20" s="111"/>
      <c r="H20" s="113" t="s">
        <v>561</v>
      </c>
      <c r="I20" s="119">
        <f t="shared" si="6"/>
        <v>37</v>
      </c>
      <c r="J20" s="119">
        <f t="shared" ref="J20:AA20" si="10">J12</f>
        <v>76</v>
      </c>
      <c r="K20" s="119">
        <f t="shared" si="10"/>
        <v>64</v>
      </c>
      <c r="L20" s="119">
        <f t="shared" si="10"/>
        <v>54</v>
      </c>
      <c r="M20" s="119">
        <f t="shared" si="10"/>
        <v>8.25</v>
      </c>
      <c r="N20" s="119" t="str">
        <f t="shared" si="10"/>
        <v>-</v>
      </c>
      <c r="O20" s="119" t="str">
        <f t="shared" si="10"/>
        <v>-</v>
      </c>
      <c r="P20" s="119" t="str">
        <f t="shared" si="10"/>
        <v>-</v>
      </c>
      <c r="Q20" s="119" t="str">
        <f t="shared" si="10"/>
        <v>-</v>
      </c>
      <c r="R20" s="119" t="str">
        <f t="shared" si="10"/>
        <v>-</v>
      </c>
      <c r="S20" s="119" t="str">
        <f t="shared" si="10"/>
        <v>-</v>
      </c>
      <c r="T20" s="119" t="str">
        <f t="shared" ref="T20" si="11">T12</f>
        <v>-</v>
      </c>
      <c r="U20" s="119" t="str">
        <f t="shared" si="10"/>
        <v>-</v>
      </c>
      <c r="V20" s="127" t="str">
        <f t="shared" si="10"/>
        <v>A-00458</v>
      </c>
      <c r="W20" s="127" t="str">
        <f t="shared" si="10"/>
        <v>A-00458</v>
      </c>
      <c r="X20" s="127" t="str">
        <f t="shared" ref="X20:Y20" si="12">X12</f>
        <v>A-00458</v>
      </c>
      <c r="Y20" s="127" t="str">
        <f t="shared" si="12"/>
        <v>A-00458</v>
      </c>
      <c r="Z20" s="119" t="str">
        <f t="shared" si="10"/>
        <v>-</v>
      </c>
      <c r="AA20" s="121" t="str">
        <f t="shared" si="10"/>
        <v>-</v>
      </c>
    </row>
    <row r="21" spans="4:27" x14ac:dyDescent="0.25">
      <c r="D21" s="109" t="s">
        <v>396</v>
      </c>
      <c r="E21" s="50" t="s">
        <v>549</v>
      </c>
      <c r="F21" s="52" t="s">
        <v>716</v>
      </c>
      <c r="H21" s="113" t="s">
        <v>613</v>
      </c>
      <c r="I21" s="119">
        <f t="shared" si="6"/>
        <v>37</v>
      </c>
      <c r="J21" s="119">
        <f t="shared" ref="J21:AA21" si="13">J13</f>
        <v>76</v>
      </c>
      <c r="K21" s="119">
        <f t="shared" si="13"/>
        <v>64</v>
      </c>
      <c r="L21" s="119">
        <f t="shared" si="13"/>
        <v>54</v>
      </c>
      <c r="M21" s="119">
        <f t="shared" si="13"/>
        <v>8.25</v>
      </c>
      <c r="N21" s="119" t="str">
        <f t="shared" si="13"/>
        <v>-</v>
      </c>
      <c r="O21" s="119" t="str">
        <f t="shared" si="13"/>
        <v>-</v>
      </c>
      <c r="P21" s="119" t="str">
        <f t="shared" si="13"/>
        <v>-</v>
      </c>
      <c r="Q21" s="119" t="str">
        <f t="shared" si="13"/>
        <v>-</v>
      </c>
      <c r="R21" s="119" t="str">
        <f t="shared" si="13"/>
        <v>-</v>
      </c>
      <c r="S21" s="119" t="str">
        <f t="shared" si="13"/>
        <v>-</v>
      </c>
      <c r="T21" s="119" t="str">
        <f t="shared" ref="T21" si="14">T13</f>
        <v>-</v>
      </c>
      <c r="U21" s="119" t="str">
        <f t="shared" si="13"/>
        <v>-</v>
      </c>
      <c r="V21" s="127" t="str">
        <f t="shared" si="13"/>
        <v>A-00458</v>
      </c>
      <c r="W21" s="127" t="str">
        <f t="shared" si="13"/>
        <v>A-00458</v>
      </c>
      <c r="X21" s="127" t="str">
        <f t="shared" ref="X21:Y21" si="15">X13</f>
        <v>A-00458</v>
      </c>
      <c r="Y21" s="127" t="str">
        <f t="shared" si="15"/>
        <v>A-00458</v>
      </c>
      <c r="Z21" s="119" t="str">
        <f t="shared" si="13"/>
        <v>-</v>
      </c>
      <c r="AA21" s="121" t="str">
        <f t="shared" si="13"/>
        <v>-</v>
      </c>
    </row>
    <row r="22" spans="4:27" x14ac:dyDescent="0.25">
      <c r="D22" s="109" t="s">
        <v>403</v>
      </c>
      <c r="E22" s="50" t="s">
        <v>551</v>
      </c>
      <c r="F22" s="52" t="s">
        <v>551</v>
      </c>
      <c r="H22" s="113" t="s">
        <v>562</v>
      </c>
      <c r="I22" s="119">
        <f t="shared" si="6"/>
        <v>36</v>
      </c>
      <c r="J22" s="119">
        <f t="shared" ref="J22:AA22" si="16">J14</f>
        <v>74</v>
      </c>
      <c r="K22" s="119">
        <f t="shared" si="16"/>
        <v>62</v>
      </c>
      <c r="L22" s="119">
        <f t="shared" si="16"/>
        <v>52</v>
      </c>
      <c r="M22" s="119">
        <f t="shared" si="16"/>
        <v>7.25</v>
      </c>
      <c r="N22" s="119" t="str">
        <f t="shared" si="16"/>
        <v>-</v>
      </c>
      <c r="O22" s="119" t="str">
        <f t="shared" si="16"/>
        <v>-</v>
      </c>
      <c r="P22" s="119" t="str">
        <f t="shared" si="16"/>
        <v>-</v>
      </c>
      <c r="Q22" s="119" t="str">
        <f t="shared" si="16"/>
        <v>-</v>
      </c>
      <c r="R22" s="119" t="str">
        <f t="shared" si="16"/>
        <v>-</v>
      </c>
      <c r="S22" s="119" t="str">
        <f t="shared" si="16"/>
        <v>-</v>
      </c>
      <c r="T22" s="119" t="str">
        <f t="shared" ref="T22" si="17">T14</f>
        <v>-</v>
      </c>
      <c r="U22" s="119" t="str">
        <f t="shared" si="16"/>
        <v>-</v>
      </c>
      <c r="V22" s="127" t="str">
        <f t="shared" si="16"/>
        <v>A-00458</v>
      </c>
      <c r="W22" s="127" t="str">
        <f t="shared" si="16"/>
        <v>A-00458</v>
      </c>
      <c r="X22" s="127" t="str">
        <f t="shared" ref="X22:Y22" si="18">X14</f>
        <v>A-00458</v>
      </c>
      <c r="Y22" s="127" t="str">
        <f t="shared" si="18"/>
        <v>A-00458</v>
      </c>
      <c r="Z22" s="119" t="str">
        <f t="shared" si="16"/>
        <v>-</v>
      </c>
      <c r="AA22" s="121" t="str">
        <f t="shared" si="16"/>
        <v>-</v>
      </c>
    </row>
    <row r="23" spans="4:27" x14ac:dyDescent="0.25">
      <c r="D23" s="109" t="s">
        <v>397</v>
      </c>
      <c r="E23" s="50" t="s">
        <v>550</v>
      </c>
      <c r="F23" s="52" t="s">
        <v>717</v>
      </c>
      <c r="H23" s="113" t="s">
        <v>614</v>
      </c>
      <c r="I23" s="119">
        <f t="shared" si="6"/>
        <v>36</v>
      </c>
      <c r="J23" s="119">
        <f t="shared" ref="J23:AA23" si="19">J15</f>
        <v>74</v>
      </c>
      <c r="K23" s="119">
        <f t="shared" si="19"/>
        <v>62</v>
      </c>
      <c r="L23" s="119">
        <f t="shared" si="19"/>
        <v>52</v>
      </c>
      <c r="M23" s="119">
        <f t="shared" si="19"/>
        <v>7.25</v>
      </c>
      <c r="N23" s="119" t="str">
        <f t="shared" si="19"/>
        <v>-</v>
      </c>
      <c r="O23" s="119" t="str">
        <f t="shared" si="19"/>
        <v>-</v>
      </c>
      <c r="P23" s="119" t="str">
        <f t="shared" si="19"/>
        <v>-</v>
      </c>
      <c r="Q23" s="119" t="str">
        <f t="shared" si="19"/>
        <v>-</v>
      </c>
      <c r="R23" s="119" t="str">
        <f t="shared" si="19"/>
        <v>-</v>
      </c>
      <c r="S23" s="119" t="str">
        <f t="shared" si="19"/>
        <v>-</v>
      </c>
      <c r="T23" s="119" t="str">
        <f t="shared" ref="T23" si="20">T15</f>
        <v>-</v>
      </c>
      <c r="U23" s="119" t="str">
        <f t="shared" si="19"/>
        <v>-</v>
      </c>
      <c r="V23" s="127" t="str">
        <f t="shared" si="19"/>
        <v>A-00458</v>
      </c>
      <c r="W23" s="127" t="str">
        <f t="shared" si="19"/>
        <v>A-00458</v>
      </c>
      <c r="X23" s="127" t="str">
        <f t="shared" ref="X23:Y23" si="21">X15</f>
        <v>A-00458</v>
      </c>
      <c r="Y23" s="127" t="str">
        <f t="shared" si="21"/>
        <v>A-00458</v>
      </c>
      <c r="Z23" s="119" t="str">
        <f t="shared" si="19"/>
        <v>-</v>
      </c>
      <c r="AA23" s="121" t="str">
        <f t="shared" si="19"/>
        <v>-</v>
      </c>
    </row>
    <row r="24" spans="4:27" x14ac:dyDescent="0.25">
      <c r="D24" s="109" t="s">
        <v>402</v>
      </c>
      <c r="E24" s="50" t="s">
        <v>550</v>
      </c>
      <c r="F24" s="52" t="s">
        <v>717</v>
      </c>
      <c r="H24" s="113" t="s">
        <v>563</v>
      </c>
      <c r="I24" s="128">
        <f t="shared" si="6"/>
        <v>36</v>
      </c>
      <c r="J24" s="128">
        <f t="shared" ref="J24:AA24" si="22">J16</f>
        <v>74</v>
      </c>
      <c r="K24" s="128">
        <f t="shared" si="22"/>
        <v>62</v>
      </c>
      <c r="L24" s="128">
        <f t="shared" si="22"/>
        <v>52</v>
      </c>
      <c r="M24" s="128">
        <f t="shared" si="22"/>
        <v>7.25</v>
      </c>
      <c r="N24" s="128" t="str">
        <f t="shared" si="22"/>
        <v>-</v>
      </c>
      <c r="O24" s="128" t="str">
        <f t="shared" si="22"/>
        <v>-</v>
      </c>
      <c r="P24" s="128" t="str">
        <f t="shared" si="22"/>
        <v>-</v>
      </c>
      <c r="Q24" s="128" t="str">
        <f t="shared" si="22"/>
        <v>-</v>
      </c>
      <c r="R24" s="128" t="str">
        <f t="shared" si="22"/>
        <v>?</v>
      </c>
      <c r="S24" s="128" t="str">
        <f t="shared" si="22"/>
        <v>-</v>
      </c>
      <c r="T24" s="128" t="str">
        <f t="shared" ref="T24" si="23">T16</f>
        <v>-</v>
      </c>
      <c r="U24" s="128" t="str">
        <f t="shared" si="22"/>
        <v>-</v>
      </c>
      <c r="V24" s="128" t="str">
        <f t="shared" si="22"/>
        <v>A-00545</v>
      </c>
      <c r="W24" s="128" t="str">
        <f t="shared" si="22"/>
        <v>A-00545</v>
      </c>
      <c r="X24" s="128" t="str">
        <f t="shared" ref="X24:Y24" si="24">X16</f>
        <v>A-00545</v>
      </c>
      <c r="Y24" s="128" t="str">
        <f t="shared" si="24"/>
        <v>A-00545</v>
      </c>
      <c r="Z24" s="128" t="str">
        <f t="shared" si="22"/>
        <v>-</v>
      </c>
      <c r="AA24" s="129" t="str">
        <f t="shared" si="22"/>
        <v>-</v>
      </c>
    </row>
    <row r="25" spans="4:27" x14ac:dyDescent="0.25">
      <c r="D25" s="109" t="s">
        <v>400</v>
      </c>
      <c r="E25" s="50" t="s">
        <v>549</v>
      </c>
      <c r="F25" s="52" t="s">
        <v>717</v>
      </c>
      <c r="H25" s="113" t="s">
        <v>615</v>
      </c>
      <c r="I25" s="128">
        <f t="shared" si="6"/>
        <v>36</v>
      </c>
      <c r="J25" s="128">
        <f t="shared" ref="J25:AA25" si="25">J17</f>
        <v>74</v>
      </c>
      <c r="K25" s="128">
        <f t="shared" si="25"/>
        <v>62</v>
      </c>
      <c r="L25" s="128">
        <f t="shared" si="25"/>
        <v>52</v>
      </c>
      <c r="M25" s="128">
        <f t="shared" si="25"/>
        <v>7.25</v>
      </c>
      <c r="N25" s="128">
        <f t="shared" si="25"/>
        <v>13.625</v>
      </c>
      <c r="O25" s="128">
        <f t="shared" si="25"/>
        <v>11</v>
      </c>
      <c r="P25" s="128" t="str">
        <f t="shared" si="25"/>
        <v>21.25</v>
      </c>
      <c r="Q25" s="128" t="str">
        <f t="shared" si="25"/>
        <v>-</v>
      </c>
      <c r="R25" s="128" t="str">
        <f t="shared" si="25"/>
        <v>-</v>
      </c>
      <c r="S25" s="128" t="str">
        <f t="shared" si="25"/>
        <v>-</v>
      </c>
      <c r="T25" s="128" t="str">
        <f t="shared" ref="T25" si="26">T17</f>
        <v>-</v>
      </c>
      <c r="U25" s="128" t="str">
        <f t="shared" si="25"/>
        <v>-</v>
      </c>
      <c r="V25" s="128" t="str">
        <f t="shared" si="25"/>
        <v>A-00545</v>
      </c>
      <c r="W25" s="128" t="str">
        <f t="shared" si="25"/>
        <v>A-00545</v>
      </c>
      <c r="X25" s="128" t="str">
        <f t="shared" ref="X25:Y25" si="27">X17</f>
        <v>A-00545</v>
      </c>
      <c r="Y25" s="128" t="str">
        <f t="shared" si="27"/>
        <v>A-00545</v>
      </c>
      <c r="Z25" s="128" t="str">
        <f t="shared" si="25"/>
        <v>-</v>
      </c>
      <c r="AA25" s="129" t="str">
        <f t="shared" si="25"/>
        <v>-</v>
      </c>
    </row>
    <row r="26" spans="4:27" ht="15.75" thickBot="1" x14ac:dyDescent="0.3">
      <c r="D26" s="110" t="s">
        <v>398</v>
      </c>
      <c r="E26" s="56" t="s">
        <v>549</v>
      </c>
      <c r="F26" s="54" t="s">
        <v>717</v>
      </c>
      <c r="H26" s="113" t="s">
        <v>564</v>
      </c>
      <c r="I26" s="119">
        <v>34</v>
      </c>
      <c r="J26" s="119">
        <v>70</v>
      </c>
      <c r="K26" s="119">
        <v>58</v>
      </c>
      <c r="L26" s="119">
        <v>48</v>
      </c>
      <c r="M26" s="119">
        <v>5</v>
      </c>
      <c r="N26" s="119" t="s">
        <v>659</v>
      </c>
      <c r="O26" s="119" t="s">
        <v>659</v>
      </c>
      <c r="P26" s="119" t="s">
        <v>659</v>
      </c>
      <c r="Q26" s="127">
        <v>6.5</v>
      </c>
      <c r="R26" s="127">
        <v>10.25</v>
      </c>
      <c r="S26" s="119" t="s">
        <v>659</v>
      </c>
      <c r="T26" s="139">
        <f>0.756*LHReveal+23.25</f>
        <v>23.25</v>
      </c>
      <c r="U26" s="119">
        <f>0.756*RHReveal+23.25</f>
        <v>23.25</v>
      </c>
      <c r="V26" s="139" t="str">
        <f>IF(RHReveal=0,"A-00545",IF(RHHand="LH","A-00726","A-00722"))</f>
        <v>A-00545</v>
      </c>
      <c r="W26" s="139" t="str">
        <f>IF(LHReveal=0,"A-00545",IF(LHHand="LH","A-00726","A-00722"))</f>
        <v>A-00545</v>
      </c>
      <c r="X26" s="139" t="str">
        <f>IF(RHHand="LH","A-00726","A-00722")</f>
        <v>A-00722</v>
      </c>
      <c r="Y26" s="139" t="str">
        <f>IF(LHHand="LH","A-00726","A-00722")</f>
        <v>A-00726</v>
      </c>
      <c r="Z26" s="48" t="str">
        <f>IF(RHReveal&lt;=6.5,"A-00639","A-00481")</f>
        <v>A-00639</v>
      </c>
      <c r="AA26" s="164" t="str">
        <f>IF(LHReveal&lt;=6.5,"A-00639","A-00481")</f>
        <v>A-00639</v>
      </c>
    </row>
    <row r="27" spans="4:27" x14ac:dyDescent="0.25">
      <c r="H27" s="113" t="s">
        <v>616</v>
      </c>
      <c r="I27" s="119">
        <v>36</v>
      </c>
      <c r="J27" s="119">
        <v>74</v>
      </c>
      <c r="K27" s="119">
        <v>62</v>
      </c>
      <c r="L27" s="119">
        <v>52</v>
      </c>
      <c r="M27" s="119">
        <v>7.25</v>
      </c>
      <c r="N27" s="119">
        <v>13.625</v>
      </c>
      <c r="O27" s="119">
        <v>11</v>
      </c>
      <c r="P27" s="119">
        <v>21.25</v>
      </c>
      <c r="Q27" s="127" t="s">
        <v>659</v>
      </c>
      <c r="R27" s="127" t="s">
        <v>659</v>
      </c>
      <c r="S27" s="119">
        <v>18.75</v>
      </c>
      <c r="T27" s="119" t="s">
        <v>659</v>
      </c>
      <c r="U27" s="119" t="s">
        <v>659</v>
      </c>
      <c r="V27" s="139" t="str">
        <f>IF(RHReveal&lt;=11,"A-00425","A-00426")</f>
        <v>A-00425</v>
      </c>
      <c r="W27" s="139" t="str">
        <f>IF(LHReveal&lt;=11,"A-00425","A-00426")</f>
        <v>A-00425</v>
      </c>
      <c r="X27" s="139" t="str">
        <f>IF(RHReveal&lt;=11,"A-00427","A-00428")</f>
        <v>A-00427</v>
      </c>
      <c r="Y27" s="139" t="str">
        <f>IF(LHReveal&lt;=11,"A-00427","A-00428")</f>
        <v>A-00427</v>
      </c>
      <c r="Z27" s="141" t="s">
        <v>659</v>
      </c>
      <c r="AA27" s="142" t="s">
        <v>659</v>
      </c>
    </row>
    <row r="28" spans="4:27" x14ac:dyDescent="0.25">
      <c r="H28" s="113" t="s">
        <v>565</v>
      </c>
      <c r="I28" s="119">
        <v>35</v>
      </c>
      <c r="J28" s="119">
        <v>72</v>
      </c>
      <c r="K28" s="119">
        <v>60</v>
      </c>
      <c r="L28" s="119">
        <v>50</v>
      </c>
      <c r="M28" s="119">
        <v>6</v>
      </c>
      <c r="N28" s="119" t="s">
        <v>659</v>
      </c>
      <c r="O28" s="119" t="s">
        <v>659</v>
      </c>
      <c r="P28" s="119" t="s">
        <v>659</v>
      </c>
      <c r="Q28" s="48">
        <f>IF(Panic=TRUE,"-",4.5)</f>
        <v>4.5</v>
      </c>
      <c r="R28" s="48">
        <f>IF(Panic=TRUE,4,9)</f>
        <v>9</v>
      </c>
      <c r="S28" s="119" t="s">
        <v>659</v>
      </c>
      <c r="T28" s="139">
        <f>0.972*LHReveal+25.5</f>
        <v>25.5</v>
      </c>
      <c r="U28" s="119">
        <f>0.972*RHReveal+25.5</f>
        <v>25.5</v>
      </c>
      <c r="V28" s="139" t="str">
        <f>IF(RHReveal=0,"A-00545",IF(RHHand="LH","A-00726","A-00722"))</f>
        <v>A-00545</v>
      </c>
      <c r="W28" s="139" t="str">
        <f>IF(LHReveal=0,"A-00545",IF(LHHand="LH","A-00726","A-00722"))</f>
        <v>A-00545</v>
      </c>
      <c r="X28" s="139" t="str">
        <f>IF(RHHand="LH","A-00726","A-00722")</f>
        <v>A-00722</v>
      </c>
      <c r="Y28" s="139" t="str">
        <f>IF(LHHand="LH","A-00726","A-00722")</f>
        <v>A-00726</v>
      </c>
      <c r="Z28" s="48" t="str">
        <f>IF(RHReveal&lt;=4.5,"A-00639","A-00481")</f>
        <v>A-00639</v>
      </c>
      <c r="AA28" s="164" t="str">
        <f>IF(LHReveal&lt;=4.5,"A-00639","A-00481")</f>
        <v>A-00639</v>
      </c>
    </row>
    <row r="29" spans="4:27" x14ac:dyDescent="0.25">
      <c r="H29" s="113" t="s">
        <v>617</v>
      </c>
      <c r="I29" s="119">
        <v>37</v>
      </c>
      <c r="J29" s="119">
        <v>76</v>
      </c>
      <c r="K29" s="119">
        <v>64</v>
      </c>
      <c r="L29" s="119">
        <v>54</v>
      </c>
      <c r="M29" s="119">
        <v>8.25</v>
      </c>
      <c r="N29" s="119">
        <v>17.25</v>
      </c>
      <c r="O29" s="119">
        <v>11</v>
      </c>
      <c r="P29" s="119">
        <v>16</v>
      </c>
      <c r="Q29" s="127" t="s">
        <v>659</v>
      </c>
      <c r="R29" s="127" t="s">
        <v>659</v>
      </c>
      <c r="S29" s="119">
        <v>19</v>
      </c>
      <c r="T29" s="119" t="s">
        <v>659</v>
      </c>
      <c r="U29" s="119" t="s">
        <v>659</v>
      </c>
      <c r="V29" s="139" t="str">
        <f>IF(RHReveal&lt;=11,"A-00425","A-00426")</f>
        <v>A-00425</v>
      </c>
      <c r="W29" s="139" t="str">
        <f>IF(LHReveal&lt;=11,"A-00425","A-00426")</f>
        <v>A-00425</v>
      </c>
      <c r="X29" s="139" t="str">
        <f>IF(RHReveal&lt;=11,"A-00427","A-00428")</f>
        <v>A-00427</v>
      </c>
      <c r="Y29" s="139" t="str">
        <f>IF(LHReveal&lt;=11,"A-00427","A-00428")</f>
        <v>A-00427</v>
      </c>
      <c r="Z29" s="120" t="s">
        <v>659</v>
      </c>
      <c r="AA29" s="142" t="s">
        <v>659</v>
      </c>
    </row>
    <row r="30" spans="4:27" x14ac:dyDescent="0.25">
      <c r="H30" s="113" t="s">
        <v>566</v>
      </c>
      <c r="I30" s="119">
        <v>34</v>
      </c>
      <c r="J30" s="119">
        <v>70</v>
      </c>
      <c r="K30" s="119">
        <v>58</v>
      </c>
      <c r="L30" s="119">
        <v>48</v>
      </c>
      <c r="M30" s="119">
        <v>5</v>
      </c>
      <c r="N30" s="119" t="s">
        <v>659</v>
      </c>
      <c r="O30" s="119" t="s">
        <v>659</v>
      </c>
      <c r="P30" s="119" t="s">
        <v>659</v>
      </c>
      <c r="Q30" s="48">
        <f>IF(Panic=TRUE,"-",4.5)</f>
        <v>4.5</v>
      </c>
      <c r="R30" s="48">
        <f>IF(Panic=TRUE,4,9)</f>
        <v>9</v>
      </c>
      <c r="S30" s="119" t="s">
        <v>659</v>
      </c>
      <c r="T30" s="139">
        <f>0.972*LHReveal+24.5</f>
        <v>24.5</v>
      </c>
      <c r="U30" s="119">
        <f>0.972*RHReveal+24.5</f>
        <v>24.5</v>
      </c>
      <c r="V30" s="139" t="str">
        <f>IF(RHReveal=0,"A-00545",IF(RHHand="LH","A-00726","A-00722"))</f>
        <v>A-00545</v>
      </c>
      <c r="W30" s="139" t="str">
        <f>IF(LHReveal=0,"A-00545",IF(LHHand="LH","A-00726","A-00722"))</f>
        <v>A-00545</v>
      </c>
      <c r="X30" s="139" t="str">
        <f>IF(RHHand="LH","A-00726","A-00722")</f>
        <v>A-00722</v>
      </c>
      <c r="Y30" s="139" t="str">
        <f>IF(LHHand="LH","A-00726","A-00722")</f>
        <v>A-00726</v>
      </c>
      <c r="Z30" s="48" t="str">
        <f>IF(RHReveal&lt;=4.5,"A-00639","A-00481")</f>
        <v>A-00639</v>
      </c>
      <c r="AA30" s="164" t="str">
        <f>IF(LHReveal&lt;=4.5,"A-00639","A-00481")</f>
        <v>A-00639</v>
      </c>
    </row>
    <row r="31" spans="4:27" x14ac:dyDescent="0.25">
      <c r="H31" s="113" t="s">
        <v>618</v>
      </c>
      <c r="I31" s="119">
        <v>36</v>
      </c>
      <c r="J31" s="119">
        <v>74</v>
      </c>
      <c r="K31" s="119">
        <v>62</v>
      </c>
      <c r="L31" s="119">
        <v>52</v>
      </c>
      <c r="M31" s="119">
        <v>7.25</v>
      </c>
      <c r="N31" s="119">
        <v>16.25</v>
      </c>
      <c r="O31" s="119">
        <v>11</v>
      </c>
      <c r="P31" s="119">
        <v>16</v>
      </c>
      <c r="Q31" s="119" t="s">
        <v>659</v>
      </c>
      <c r="R31" s="119" t="s">
        <v>659</v>
      </c>
      <c r="S31" s="119">
        <v>18.75</v>
      </c>
      <c r="T31" s="119" t="s">
        <v>659</v>
      </c>
      <c r="U31" s="119" t="s">
        <v>659</v>
      </c>
      <c r="V31" s="139" t="str">
        <f>IF(RHReveal&lt;=11,"A-00425","A-00426")</f>
        <v>A-00425</v>
      </c>
      <c r="W31" s="139" t="str">
        <f>IF(LHReveal&lt;=11,"A-00425","A-00426")</f>
        <v>A-00425</v>
      </c>
      <c r="X31" s="139" t="str">
        <f>IF(RHReveal&lt;=11,"A-00427","A-00428")</f>
        <v>A-00427</v>
      </c>
      <c r="Y31" s="139" t="str">
        <f>IF(LHReveal&lt;=11,"A-00427","A-00428")</f>
        <v>A-00427</v>
      </c>
      <c r="Z31" s="120" t="s">
        <v>659</v>
      </c>
      <c r="AA31" s="142" t="s">
        <v>659</v>
      </c>
    </row>
    <row r="32" spans="4:27" x14ac:dyDescent="0.25">
      <c r="H32" s="113" t="s">
        <v>567</v>
      </c>
      <c r="I32" s="128">
        <v>34</v>
      </c>
      <c r="J32" s="128">
        <v>70</v>
      </c>
      <c r="K32" s="128">
        <v>58</v>
      </c>
      <c r="L32" s="128">
        <v>48</v>
      </c>
      <c r="M32" s="128">
        <v>5</v>
      </c>
      <c r="N32" s="128" t="s">
        <v>659</v>
      </c>
      <c r="O32" s="128" t="s">
        <v>659</v>
      </c>
      <c r="P32" s="128" t="s">
        <v>659</v>
      </c>
      <c r="Q32" s="128">
        <v>6.5</v>
      </c>
      <c r="R32" s="128">
        <v>10.25</v>
      </c>
      <c r="S32" s="128" t="s">
        <v>659</v>
      </c>
      <c r="T32" s="128">
        <f>0.756*LHReveal+23.25</f>
        <v>23.25</v>
      </c>
      <c r="U32" s="128">
        <f>0.756*RHReveal+23.25</f>
        <v>23.25</v>
      </c>
      <c r="V32" s="140" t="str">
        <f>IF(RHReveal=0,"A-00545",IF(RHHand="LH","A-00726","A-00722"))</f>
        <v>A-00545</v>
      </c>
      <c r="W32" s="140" t="str">
        <f>IF(LHReveal=0,"A-00545",IF(LHHand="LH","A-00726","A-00722"))</f>
        <v>A-00545</v>
      </c>
      <c r="X32" s="140" t="str">
        <f>IF(RHHand="LH","A-00726","A-00722")</f>
        <v>A-00722</v>
      </c>
      <c r="Y32" s="140" t="str">
        <f>IF(LHHand="LH","A-00726","A-00722")</f>
        <v>A-00726</v>
      </c>
      <c r="Z32" s="69" t="str">
        <f>IF(RHReveal&lt;=6.5,"A-00639","A-00481")</f>
        <v>A-00639</v>
      </c>
      <c r="AA32" s="165" t="str">
        <f>IF(LHReveal&lt;=6.5,"A-00639","A-00481")</f>
        <v>A-00639</v>
      </c>
    </row>
    <row r="33" spans="8:27" x14ac:dyDescent="0.25">
      <c r="H33" s="113" t="s">
        <v>619</v>
      </c>
      <c r="I33" s="128">
        <v>36</v>
      </c>
      <c r="J33" s="128">
        <v>74</v>
      </c>
      <c r="K33" s="128">
        <v>62</v>
      </c>
      <c r="L33" s="128">
        <v>52</v>
      </c>
      <c r="M33" s="128">
        <v>7.25</v>
      </c>
      <c r="N33" s="128">
        <v>13.625</v>
      </c>
      <c r="O33" s="128">
        <v>11</v>
      </c>
      <c r="P33" s="128">
        <v>21.25</v>
      </c>
      <c r="Q33" s="128" t="s">
        <v>659</v>
      </c>
      <c r="R33" s="128" t="s">
        <v>659</v>
      </c>
      <c r="S33" s="128">
        <v>18.75</v>
      </c>
      <c r="T33" s="128" t="s">
        <v>659</v>
      </c>
      <c r="U33" s="128" t="s">
        <v>659</v>
      </c>
      <c r="V33" s="140" t="str">
        <f>IF(RHReveal&lt;=11,"A-00425","A-00426")</f>
        <v>A-00425</v>
      </c>
      <c r="W33" s="140" t="str">
        <f>IF(LHReveal&lt;=11,"A-00425","A-00426")</f>
        <v>A-00425</v>
      </c>
      <c r="X33" s="140" t="str">
        <f>IF(RHReveal&lt;=11,"A-00427","A-00428")</f>
        <v>A-00427</v>
      </c>
      <c r="Y33" s="140" t="str">
        <f>IF(LHReveal&lt;=11,"A-00427","A-00428")</f>
        <v>A-00427</v>
      </c>
      <c r="Z33" s="143" t="s">
        <v>659</v>
      </c>
      <c r="AA33" s="144" t="s">
        <v>659</v>
      </c>
    </row>
    <row r="34" spans="8:27" x14ac:dyDescent="0.25">
      <c r="H34" s="113" t="s">
        <v>568</v>
      </c>
      <c r="I34" s="119">
        <v>34</v>
      </c>
      <c r="J34" s="119">
        <v>70</v>
      </c>
      <c r="K34" s="119">
        <v>58</v>
      </c>
      <c r="L34" s="119">
        <v>48</v>
      </c>
      <c r="M34" s="119">
        <v>5</v>
      </c>
      <c r="N34" s="119" t="s">
        <v>659</v>
      </c>
      <c r="O34" s="119" t="s">
        <v>659</v>
      </c>
      <c r="P34" s="127" t="s">
        <v>659</v>
      </c>
      <c r="Q34" s="127">
        <v>6.5</v>
      </c>
      <c r="R34" s="127">
        <v>10.25</v>
      </c>
      <c r="S34" s="119" t="s">
        <v>659</v>
      </c>
      <c r="T34" s="139">
        <f>0.756*LHReveal+23.25</f>
        <v>23.25</v>
      </c>
      <c r="U34" s="119">
        <f>0.756*RHReveal+23.25</f>
        <v>23.25</v>
      </c>
      <c r="V34" s="139" t="str">
        <f>IF(RHReveal=0,"A-00545",IF(RHHand="LH","A-00726","A-00722"))</f>
        <v>A-00545</v>
      </c>
      <c r="W34" s="139" t="str">
        <f>IF(LHReveal=0,"A-00545",IF(LHHand="LH","A-00726","A-00722"))</f>
        <v>A-00545</v>
      </c>
      <c r="X34" s="139" t="str">
        <f>IF(RHHand="LH","A-00726","A-00722")</f>
        <v>A-00722</v>
      </c>
      <c r="Y34" s="139" t="str">
        <f>IF(LHHand="LH","A-00726","A-00722")</f>
        <v>A-00726</v>
      </c>
      <c r="Z34" s="119" t="str">
        <f>Z26</f>
        <v>A-00639</v>
      </c>
      <c r="AA34" s="121" t="str">
        <f t="shared" ref="AA34:AA41" si="28">AA26</f>
        <v>A-00639</v>
      </c>
    </row>
    <row r="35" spans="8:27" x14ac:dyDescent="0.25">
      <c r="H35" s="113" t="s">
        <v>620</v>
      </c>
      <c r="I35" s="119">
        <v>34</v>
      </c>
      <c r="J35" s="119">
        <v>70</v>
      </c>
      <c r="K35" s="119">
        <v>58</v>
      </c>
      <c r="L35" s="119">
        <v>48</v>
      </c>
      <c r="M35" s="119">
        <v>5</v>
      </c>
      <c r="N35" s="119">
        <v>11.375</v>
      </c>
      <c r="O35" s="119">
        <v>11</v>
      </c>
      <c r="P35" s="127">
        <v>21.25</v>
      </c>
      <c r="Q35" s="127" t="s">
        <v>659</v>
      </c>
      <c r="R35" s="127" t="s">
        <v>659</v>
      </c>
      <c r="S35" s="119">
        <v>16.5</v>
      </c>
      <c r="T35" s="119" t="s">
        <v>659</v>
      </c>
      <c r="U35" s="119" t="s">
        <v>659</v>
      </c>
      <c r="V35" s="139" t="str">
        <f>IF(RHReveal&lt;=11,"A-00425","N/A")</f>
        <v>A-00425</v>
      </c>
      <c r="W35" s="139" t="str">
        <f>IF(LHReveal&lt;=11,"A-00425","N/A")</f>
        <v>A-00425</v>
      </c>
      <c r="X35" s="139" t="str">
        <f>IF(RHReveal&lt;=11,"A-00427","N/A")</f>
        <v>A-00427</v>
      </c>
      <c r="Y35" s="139" t="str">
        <f>IF(LHReveal&lt;=11,"A-00427","N/A")</f>
        <v>A-00427</v>
      </c>
      <c r="Z35" s="119" t="str">
        <f t="shared" ref="Z35" si="29">Z27</f>
        <v>-</v>
      </c>
      <c r="AA35" s="121" t="str">
        <f t="shared" si="28"/>
        <v>-</v>
      </c>
    </row>
    <row r="36" spans="8:27" x14ac:dyDescent="0.25">
      <c r="H36" s="113" t="s">
        <v>569</v>
      </c>
      <c r="I36" s="119">
        <v>35</v>
      </c>
      <c r="J36" s="119">
        <v>72</v>
      </c>
      <c r="K36" s="119">
        <v>60</v>
      </c>
      <c r="L36" s="119">
        <v>50</v>
      </c>
      <c r="M36" s="119">
        <v>6</v>
      </c>
      <c r="N36" s="119" t="s">
        <v>659</v>
      </c>
      <c r="O36" s="119" t="s">
        <v>659</v>
      </c>
      <c r="P36" s="127" t="s">
        <v>659</v>
      </c>
      <c r="Q36" s="48">
        <f>IF(Panic=TRUE,"-",4.5)</f>
        <v>4.5</v>
      </c>
      <c r="R36" s="48">
        <f>IF(Panic=TRUE,4,9)</f>
        <v>9</v>
      </c>
      <c r="S36" s="119" t="s">
        <v>659</v>
      </c>
      <c r="T36" s="139">
        <f>0.972*LHReveal+25.5</f>
        <v>25.5</v>
      </c>
      <c r="U36" s="119">
        <f>0.972*RHReveal+25.5</f>
        <v>25.5</v>
      </c>
      <c r="V36" s="139" t="str">
        <f>IF(RHReveal=0,"A-00545",IF(RHHand="LH","A-00726","A-00722"))</f>
        <v>A-00545</v>
      </c>
      <c r="W36" s="139" t="str">
        <f>IF(LHReveal=0,"A-00545",IF(LHHand="LH","A-00726","A-00722"))</f>
        <v>A-00545</v>
      </c>
      <c r="X36" s="139" t="str">
        <f>IF(RHHand="LH","A-00726","A-00722")</f>
        <v>A-00722</v>
      </c>
      <c r="Y36" s="139" t="str">
        <f>IF(LHHand="LH","A-00726","A-00722")</f>
        <v>A-00726</v>
      </c>
      <c r="Z36" s="119" t="str">
        <f t="shared" ref="Z36" si="30">Z28</f>
        <v>A-00639</v>
      </c>
      <c r="AA36" s="121" t="str">
        <f t="shared" si="28"/>
        <v>A-00639</v>
      </c>
    </row>
    <row r="37" spans="8:27" x14ac:dyDescent="0.25">
      <c r="H37" s="113" t="s">
        <v>621</v>
      </c>
      <c r="I37" s="119">
        <v>35</v>
      </c>
      <c r="J37" s="119">
        <v>72</v>
      </c>
      <c r="K37" s="119">
        <v>60</v>
      </c>
      <c r="L37" s="119">
        <v>50</v>
      </c>
      <c r="M37" s="119">
        <v>6</v>
      </c>
      <c r="N37" s="119">
        <v>15</v>
      </c>
      <c r="O37" s="119">
        <v>11</v>
      </c>
      <c r="P37" s="127" t="s">
        <v>659</v>
      </c>
      <c r="Q37" s="127" t="s">
        <v>659</v>
      </c>
      <c r="R37" s="127" t="s">
        <v>659</v>
      </c>
      <c r="S37" s="119">
        <v>17.5</v>
      </c>
      <c r="T37" s="119" t="s">
        <v>659</v>
      </c>
      <c r="U37" s="119" t="s">
        <v>659</v>
      </c>
      <c r="V37" s="139" t="str">
        <f>IF(RHReveal&lt;=11,"A-00425","N/A")</f>
        <v>A-00425</v>
      </c>
      <c r="W37" s="139" t="str">
        <f>IF(LHReveal&lt;=11,"A-00425","N/A")</f>
        <v>A-00425</v>
      </c>
      <c r="X37" s="139" t="str">
        <f>IF(RHReveal&lt;=11,"A-00427","N/A")</f>
        <v>A-00427</v>
      </c>
      <c r="Y37" s="139" t="str">
        <f>IF(LHReveal&lt;=11,"A-00427","N/A")</f>
        <v>A-00427</v>
      </c>
      <c r="Z37" s="119" t="str">
        <f t="shared" ref="Z37" si="31">Z29</f>
        <v>-</v>
      </c>
      <c r="AA37" s="121" t="str">
        <f t="shared" si="28"/>
        <v>-</v>
      </c>
    </row>
    <row r="38" spans="8:27" x14ac:dyDescent="0.25">
      <c r="H38" s="113" t="s">
        <v>570</v>
      </c>
      <c r="I38" s="119">
        <v>34</v>
      </c>
      <c r="J38" s="119">
        <v>70</v>
      </c>
      <c r="K38" s="119">
        <v>58</v>
      </c>
      <c r="L38" s="119">
        <v>48</v>
      </c>
      <c r="M38" s="119">
        <v>5</v>
      </c>
      <c r="N38" s="119" t="s">
        <v>659</v>
      </c>
      <c r="O38" s="119" t="s">
        <v>659</v>
      </c>
      <c r="P38" s="127" t="s">
        <v>659</v>
      </c>
      <c r="Q38" s="48">
        <f>IF(Panic=TRUE,"-",4.5)</f>
        <v>4.5</v>
      </c>
      <c r="R38" s="48">
        <f>IF(Panic=TRUE,4,9)</f>
        <v>9</v>
      </c>
      <c r="S38" s="119" t="s">
        <v>659</v>
      </c>
      <c r="T38" s="139">
        <f>0.972*LHReveal+24.5</f>
        <v>24.5</v>
      </c>
      <c r="U38" s="119">
        <f>0.972*RHReveal+24.5</f>
        <v>24.5</v>
      </c>
      <c r="V38" s="139" t="str">
        <f>IF(RHReveal=0,"A-00545",IF(RHHand="LH","A-00726","A-00722"))</f>
        <v>A-00545</v>
      </c>
      <c r="W38" s="139" t="str">
        <f>IF(LHReveal=0,"A-00545",IF(LHHand="LH","A-00726","A-00722"))</f>
        <v>A-00545</v>
      </c>
      <c r="X38" s="139" t="str">
        <f>IF(RHHand="LH","A-00726","A-00722")</f>
        <v>A-00722</v>
      </c>
      <c r="Y38" s="139" t="str">
        <f>IF(LHHand="LH","A-00726","A-00722")</f>
        <v>A-00726</v>
      </c>
      <c r="Z38" s="119" t="str">
        <f t="shared" ref="Z38" si="32">Z30</f>
        <v>A-00639</v>
      </c>
      <c r="AA38" s="121" t="str">
        <f t="shared" si="28"/>
        <v>A-00639</v>
      </c>
    </row>
    <row r="39" spans="8:27" x14ac:dyDescent="0.25">
      <c r="H39" s="113" t="s">
        <v>622</v>
      </c>
      <c r="I39" s="119">
        <v>34</v>
      </c>
      <c r="J39" s="119">
        <v>70</v>
      </c>
      <c r="K39" s="119">
        <v>58</v>
      </c>
      <c r="L39" s="119">
        <v>48</v>
      </c>
      <c r="M39" s="119">
        <v>5</v>
      </c>
      <c r="N39" s="119">
        <v>14</v>
      </c>
      <c r="O39" s="119">
        <v>11</v>
      </c>
      <c r="P39" s="127" t="s">
        <v>659</v>
      </c>
      <c r="Q39" s="127" t="s">
        <v>659</v>
      </c>
      <c r="R39" s="127" t="s">
        <v>659</v>
      </c>
      <c r="S39" s="119">
        <v>16.5</v>
      </c>
      <c r="T39" s="119" t="s">
        <v>659</v>
      </c>
      <c r="U39" s="119" t="s">
        <v>659</v>
      </c>
      <c r="V39" s="139" t="str">
        <f>IF(RHReveal&lt;=11,"A-00425","N/A")</f>
        <v>A-00425</v>
      </c>
      <c r="W39" s="139" t="str">
        <f>IF(LHReveal&lt;=11,"A-00425","N/A")</f>
        <v>A-00425</v>
      </c>
      <c r="X39" s="139" t="str">
        <f>IF(RHReveal&lt;=11,"A-00427","N/A")</f>
        <v>A-00427</v>
      </c>
      <c r="Y39" s="139" t="str">
        <f>IF(LHReveal&lt;=11,"A-00427","N/A")</f>
        <v>A-00427</v>
      </c>
      <c r="Z39" s="119" t="str">
        <f t="shared" ref="Z39" si="33">Z31</f>
        <v>-</v>
      </c>
      <c r="AA39" s="121" t="str">
        <f t="shared" si="28"/>
        <v>-</v>
      </c>
    </row>
    <row r="40" spans="8:27" x14ac:dyDescent="0.25">
      <c r="H40" s="113" t="s">
        <v>571</v>
      </c>
      <c r="I40" s="128">
        <v>34</v>
      </c>
      <c r="J40" s="128">
        <v>70</v>
      </c>
      <c r="K40" s="128">
        <v>58</v>
      </c>
      <c r="L40" s="128">
        <v>48</v>
      </c>
      <c r="M40" s="128">
        <v>5</v>
      </c>
      <c r="N40" s="128" t="s">
        <v>659</v>
      </c>
      <c r="O40" s="128" t="s">
        <v>659</v>
      </c>
      <c r="P40" s="128" t="s">
        <v>659</v>
      </c>
      <c r="Q40" s="128">
        <v>6.5</v>
      </c>
      <c r="R40" s="128">
        <v>10.25</v>
      </c>
      <c r="S40" s="128" t="s">
        <v>659</v>
      </c>
      <c r="T40" s="128">
        <f>0.756*LHReveal+23.25</f>
        <v>23.25</v>
      </c>
      <c r="U40" s="128">
        <f>0.756*RHReveal+23.25</f>
        <v>23.25</v>
      </c>
      <c r="V40" s="140" t="str">
        <f>IF(RHReveal=0,"A-00545",IF(RHHand="LH","A-00726","A-00722"))</f>
        <v>A-00545</v>
      </c>
      <c r="W40" s="140" t="str">
        <f>IF(LHReveal=0,"A-00545",IF(LHHand="LH","A-00726","A-00722"))</f>
        <v>A-00545</v>
      </c>
      <c r="X40" s="140" t="str">
        <f>IF(RHHand="LH","A-00726","A-00722")</f>
        <v>A-00722</v>
      </c>
      <c r="Y40" s="140" t="str">
        <f>IF(LHHand="LH","A-00726","A-00722")</f>
        <v>A-00726</v>
      </c>
      <c r="Z40" s="128" t="str">
        <f t="shared" ref="Z40" si="34">Z32</f>
        <v>A-00639</v>
      </c>
      <c r="AA40" s="129" t="str">
        <f t="shared" si="28"/>
        <v>A-00639</v>
      </c>
    </row>
    <row r="41" spans="8:27" x14ac:dyDescent="0.25">
      <c r="H41" s="113" t="s">
        <v>623</v>
      </c>
      <c r="I41" s="128">
        <v>34</v>
      </c>
      <c r="J41" s="128">
        <v>70</v>
      </c>
      <c r="K41" s="128">
        <v>58</v>
      </c>
      <c r="L41" s="128">
        <v>48</v>
      </c>
      <c r="M41" s="128">
        <v>5</v>
      </c>
      <c r="N41" s="128">
        <v>11.375</v>
      </c>
      <c r="O41" s="128">
        <v>11</v>
      </c>
      <c r="P41" s="128">
        <v>21.25</v>
      </c>
      <c r="Q41" s="128" t="s">
        <v>659</v>
      </c>
      <c r="R41" s="128" t="s">
        <v>659</v>
      </c>
      <c r="S41" s="128">
        <v>16.5</v>
      </c>
      <c r="T41" s="128" t="s">
        <v>659</v>
      </c>
      <c r="U41" s="128" t="s">
        <v>659</v>
      </c>
      <c r="V41" s="140" t="str">
        <f>IF(RHReveal&lt;=11,"A-00425","N/A")</f>
        <v>A-00425</v>
      </c>
      <c r="W41" s="140" t="str">
        <f>IF(LHReveal&lt;=11,"A-00425","N/A")</f>
        <v>A-00425</v>
      </c>
      <c r="X41" s="140" t="str">
        <f>IF(RHReveal&lt;=11,"A-00427","N/A")</f>
        <v>A-00427</v>
      </c>
      <c r="Y41" s="140" t="str">
        <f>IF(LHReveal&lt;=11,"A-00427","N/A")</f>
        <v>A-00427</v>
      </c>
      <c r="Z41" s="128" t="str">
        <f t="shared" ref="Z41" si="35">Z33</f>
        <v>-</v>
      </c>
      <c r="AA41" s="129" t="str">
        <f t="shared" si="28"/>
        <v>-</v>
      </c>
    </row>
    <row r="42" spans="8:27" x14ac:dyDescent="0.25">
      <c r="H42" s="113" t="s">
        <v>572</v>
      </c>
      <c r="I42" s="119">
        <f>I26</f>
        <v>34</v>
      </c>
      <c r="J42" s="119">
        <f t="shared" ref="J42:U42" si="36">J26</f>
        <v>70</v>
      </c>
      <c r="K42" s="119">
        <f t="shared" si="36"/>
        <v>58</v>
      </c>
      <c r="L42" s="119">
        <f t="shared" si="36"/>
        <v>48</v>
      </c>
      <c r="M42" s="119">
        <f t="shared" si="36"/>
        <v>5</v>
      </c>
      <c r="N42" s="119" t="str">
        <f t="shared" si="36"/>
        <v>-</v>
      </c>
      <c r="O42" s="119" t="str">
        <f t="shared" si="36"/>
        <v>-</v>
      </c>
      <c r="P42" s="119" t="str">
        <f t="shared" si="36"/>
        <v>-</v>
      </c>
      <c r="Q42" s="119">
        <f t="shared" si="36"/>
        <v>6.5</v>
      </c>
      <c r="R42" s="119">
        <f t="shared" si="36"/>
        <v>10.25</v>
      </c>
      <c r="S42" s="119" t="str">
        <f t="shared" si="36"/>
        <v>-</v>
      </c>
      <c r="T42" s="119">
        <f t="shared" si="36"/>
        <v>23.25</v>
      </c>
      <c r="U42" s="119">
        <f t="shared" si="36"/>
        <v>23.25</v>
      </c>
      <c r="V42" s="119" t="str">
        <f t="shared" ref="V42:W42" si="37">V26</f>
        <v>A-00545</v>
      </c>
      <c r="W42" s="119" t="str">
        <f t="shared" si="37"/>
        <v>A-00545</v>
      </c>
      <c r="X42" s="119" t="str">
        <f t="shared" ref="X42:Y42" si="38">X26</f>
        <v>A-00722</v>
      </c>
      <c r="Y42" s="119" t="str">
        <f t="shared" si="38"/>
        <v>A-00726</v>
      </c>
      <c r="Z42" s="119" t="str">
        <f>Z26</f>
        <v>A-00639</v>
      </c>
      <c r="AA42" s="121" t="str">
        <f t="shared" ref="AA42:AA49" si="39">AA26</f>
        <v>A-00639</v>
      </c>
    </row>
    <row r="43" spans="8:27" x14ac:dyDescent="0.25">
      <c r="H43" s="113" t="s">
        <v>624</v>
      </c>
      <c r="I43" s="119">
        <f t="shared" ref="I43:Z43" si="40">I27</f>
        <v>36</v>
      </c>
      <c r="J43" s="119">
        <f t="shared" si="40"/>
        <v>74</v>
      </c>
      <c r="K43" s="119">
        <f t="shared" si="40"/>
        <v>62</v>
      </c>
      <c r="L43" s="119">
        <f t="shared" si="40"/>
        <v>52</v>
      </c>
      <c r="M43" s="119">
        <f t="shared" si="40"/>
        <v>7.25</v>
      </c>
      <c r="N43" s="119">
        <f t="shared" si="40"/>
        <v>13.625</v>
      </c>
      <c r="O43" s="119">
        <f t="shared" si="40"/>
        <v>11</v>
      </c>
      <c r="P43" s="119">
        <f t="shared" si="40"/>
        <v>21.25</v>
      </c>
      <c r="Q43" s="119" t="str">
        <f t="shared" si="40"/>
        <v>-</v>
      </c>
      <c r="R43" s="119" t="str">
        <f t="shared" si="40"/>
        <v>-</v>
      </c>
      <c r="S43" s="119">
        <f t="shared" si="40"/>
        <v>18.75</v>
      </c>
      <c r="T43" s="119" t="str">
        <f t="shared" si="40"/>
        <v>-</v>
      </c>
      <c r="U43" s="119" t="str">
        <f t="shared" si="40"/>
        <v>-</v>
      </c>
      <c r="V43" s="119" t="str">
        <f t="shared" si="40"/>
        <v>A-00425</v>
      </c>
      <c r="W43" s="119" t="str">
        <f t="shared" si="40"/>
        <v>A-00425</v>
      </c>
      <c r="X43" s="119" t="str">
        <f t="shared" ref="X43:Y43" si="41">X27</f>
        <v>A-00427</v>
      </c>
      <c r="Y43" s="119" t="str">
        <f t="shared" si="41"/>
        <v>A-00427</v>
      </c>
      <c r="Z43" s="119" t="str">
        <f t="shared" si="40"/>
        <v>-</v>
      </c>
      <c r="AA43" s="121" t="str">
        <f t="shared" si="39"/>
        <v>-</v>
      </c>
    </row>
    <row r="44" spans="8:27" x14ac:dyDescent="0.25">
      <c r="H44" s="113" t="s">
        <v>573</v>
      </c>
      <c r="I44" s="119">
        <f t="shared" ref="I44:Z44" si="42">I28</f>
        <v>35</v>
      </c>
      <c r="J44" s="119">
        <f t="shared" si="42"/>
        <v>72</v>
      </c>
      <c r="K44" s="119">
        <f t="shared" si="42"/>
        <v>60</v>
      </c>
      <c r="L44" s="119">
        <f t="shared" si="42"/>
        <v>50</v>
      </c>
      <c r="M44" s="119">
        <f t="shared" si="42"/>
        <v>6</v>
      </c>
      <c r="N44" s="119" t="str">
        <f t="shared" si="42"/>
        <v>-</v>
      </c>
      <c r="O44" s="119" t="str">
        <f t="shared" si="42"/>
        <v>-</v>
      </c>
      <c r="P44" s="119" t="str">
        <f t="shared" si="42"/>
        <v>-</v>
      </c>
      <c r="Q44" s="119">
        <f t="shared" si="42"/>
        <v>4.5</v>
      </c>
      <c r="R44" s="119">
        <f t="shared" si="42"/>
        <v>9</v>
      </c>
      <c r="S44" s="119" t="str">
        <f t="shared" si="42"/>
        <v>-</v>
      </c>
      <c r="T44" s="119">
        <f t="shared" si="42"/>
        <v>25.5</v>
      </c>
      <c r="U44" s="119">
        <f t="shared" si="42"/>
        <v>25.5</v>
      </c>
      <c r="V44" s="119" t="str">
        <f t="shared" si="42"/>
        <v>A-00545</v>
      </c>
      <c r="W44" s="119" t="str">
        <f t="shared" si="42"/>
        <v>A-00545</v>
      </c>
      <c r="X44" s="119" t="str">
        <f t="shared" ref="X44:Y44" si="43">X28</f>
        <v>A-00722</v>
      </c>
      <c r="Y44" s="119" t="str">
        <f t="shared" si="43"/>
        <v>A-00726</v>
      </c>
      <c r="Z44" s="119" t="str">
        <f t="shared" si="42"/>
        <v>A-00639</v>
      </c>
      <c r="AA44" s="121" t="str">
        <f t="shared" si="39"/>
        <v>A-00639</v>
      </c>
    </row>
    <row r="45" spans="8:27" x14ac:dyDescent="0.25">
      <c r="H45" s="113" t="s">
        <v>625</v>
      </c>
      <c r="I45" s="119">
        <f t="shared" ref="I45:Z45" si="44">I29</f>
        <v>37</v>
      </c>
      <c r="J45" s="119">
        <f t="shared" si="44"/>
        <v>76</v>
      </c>
      <c r="K45" s="119">
        <f t="shared" si="44"/>
        <v>64</v>
      </c>
      <c r="L45" s="119">
        <f t="shared" si="44"/>
        <v>54</v>
      </c>
      <c r="M45" s="119">
        <f t="shared" si="44"/>
        <v>8.25</v>
      </c>
      <c r="N45" s="119">
        <f t="shared" si="44"/>
        <v>17.25</v>
      </c>
      <c r="O45" s="119">
        <f t="shared" si="44"/>
        <v>11</v>
      </c>
      <c r="P45" s="119">
        <f t="shared" si="44"/>
        <v>16</v>
      </c>
      <c r="Q45" s="119" t="str">
        <f t="shared" si="44"/>
        <v>-</v>
      </c>
      <c r="R45" s="119" t="str">
        <f t="shared" si="44"/>
        <v>-</v>
      </c>
      <c r="S45" s="119">
        <f t="shared" si="44"/>
        <v>19</v>
      </c>
      <c r="T45" s="119" t="str">
        <f t="shared" si="44"/>
        <v>-</v>
      </c>
      <c r="U45" s="119" t="str">
        <f t="shared" si="44"/>
        <v>-</v>
      </c>
      <c r="V45" s="119" t="str">
        <f t="shared" si="44"/>
        <v>A-00425</v>
      </c>
      <c r="W45" s="119" t="str">
        <f t="shared" si="44"/>
        <v>A-00425</v>
      </c>
      <c r="X45" s="119" t="str">
        <f t="shared" ref="X45:Y45" si="45">X29</f>
        <v>A-00427</v>
      </c>
      <c r="Y45" s="119" t="str">
        <f t="shared" si="45"/>
        <v>A-00427</v>
      </c>
      <c r="Z45" s="119" t="str">
        <f t="shared" si="44"/>
        <v>-</v>
      </c>
      <c r="AA45" s="121" t="str">
        <f t="shared" si="39"/>
        <v>-</v>
      </c>
    </row>
    <row r="46" spans="8:27" x14ac:dyDescent="0.25">
      <c r="H46" s="113" t="s">
        <v>574</v>
      </c>
      <c r="I46" s="119">
        <f t="shared" ref="I46:Z46" si="46">I30</f>
        <v>34</v>
      </c>
      <c r="J46" s="119">
        <f t="shared" si="46"/>
        <v>70</v>
      </c>
      <c r="K46" s="119">
        <f t="shared" si="46"/>
        <v>58</v>
      </c>
      <c r="L46" s="119">
        <f t="shared" si="46"/>
        <v>48</v>
      </c>
      <c r="M46" s="119">
        <f t="shared" si="46"/>
        <v>5</v>
      </c>
      <c r="N46" s="119" t="str">
        <f t="shared" si="46"/>
        <v>-</v>
      </c>
      <c r="O46" s="119" t="str">
        <f t="shared" si="46"/>
        <v>-</v>
      </c>
      <c r="P46" s="119" t="str">
        <f t="shared" si="46"/>
        <v>-</v>
      </c>
      <c r="Q46" s="119">
        <f t="shared" si="46"/>
        <v>4.5</v>
      </c>
      <c r="R46" s="119">
        <f t="shared" si="46"/>
        <v>9</v>
      </c>
      <c r="S46" s="119" t="str">
        <f t="shared" si="46"/>
        <v>-</v>
      </c>
      <c r="T46" s="119">
        <f t="shared" si="46"/>
        <v>24.5</v>
      </c>
      <c r="U46" s="119">
        <f t="shared" si="46"/>
        <v>24.5</v>
      </c>
      <c r="V46" s="119" t="str">
        <f t="shared" si="46"/>
        <v>A-00545</v>
      </c>
      <c r="W46" s="119" t="str">
        <f t="shared" si="46"/>
        <v>A-00545</v>
      </c>
      <c r="X46" s="119" t="str">
        <f t="shared" ref="X46:Y46" si="47">X30</f>
        <v>A-00722</v>
      </c>
      <c r="Y46" s="119" t="str">
        <f t="shared" si="47"/>
        <v>A-00726</v>
      </c>
      <c r="Z46" s="119" t="str">
        <f t="shared" si="46"/>
        <v>A-00639</v>
      </c>
      <c r="AA46" s="121" t="str">
        <f t="shared" si="39"/>
        <v>A-00639</v>
      </c>
    </row>
    <row r="47" spans="8:27" x14ac:dyDescent="0.25">
      <c r="H47" s="113" t="s">
        <v>626</v>
      </c>
      <c r="I47" s="119">
        <f t="shared" ref="I47:Z47" si="48">I31</f>
        <v>36</v>
      </c>
      <c r="J47" s="119">
        <f t="shared" si="48"/>
        <v>74</v>
      </c>
      <c r="K47" s="119">
        <f t="shared" si="48"/>
        <v>62</v>
      </c>
      <c r="L47" s="119">
        <f t="shared" si="48"/>
        <v>52</v>
      </c>
      <c r="M47" s="119">
        <f t="shared" si="48"/>
        <v>7.25</v>
      </c>
      <c r="N47" s="119">
        <f t="shared" si="48"/>
        <v>16.25</v>
      </c>
      <c r="O47" s="119">
        <f t="shared" si="48"/>
        <v>11</v>
      </c>
      <c r="P47" s="119">
        <f t="shared" si="48"/>
        <v>16</v>
      </c>
      <c r="Q47" s="119" t="str">
        <f t="shared" si="48"/>
        <v>-</v>
      </c>
      <c r="R47" s="119" t="str">
        <f t="shared" si="48"/>
        <v>-</v>
      </c>
      <c r="S47" s="119">
        <f t="shared" si="48"/>
        <v>18.75</v>
      </c>
      <c r="T47" s="119" t="str">
        <f t="shared" si="48"/>
        <v>-</v>
      </c>
      <c r="U47" s="119" t="str">
        <f t="shared" si="48"/>
        <v>-</v>
      </c>
      <c r="V47" s="119" t="str">
        <f t="shared" si="48"/>
        <v>A-00425</v>
      </c>
      <c r="W47" s="119" t="str">
        <f t="shared" si="48"/>
        <v>A-00425</v>
      </c>
      <c r="X47" s="119" t="str">
        <f t="shared" ref="X47:Y47" si="49">X31</f>
        <v>A-00427</v>
      </c>
      <c r="Y47" s="119" t="str">
        <f t="shared" si="49"/>
        <v>A-00427</v>
      </c>
      <c r="Z47" s="119" t="str">
        <f t="shared" si="48"/>
        <v>-</v>
      </c>
      <c r="AA47" s="121" t="str">
        <f t="shared" si="39"/>
        <v>-</v>
      </c>
    </row>
    <row r="48" spans="8:27" x14ac:dyDescent="0.25">
      <c r="H48" s="113" t="s">
        <v>575</v>
      </c>
      <c r="I48" s="128">
        <f t="shared" ref="I48:Z48" si="50">I32</f>
        <v>34</v>
      </c>
      <c r="J48" s="128">
        <f t="shared" si="50"/>
        <v>70</v>
      </c>
      <c r="K48" s="128">
        <f t="shared" si="50"/>
        <v>58</v>
      </c>
      <c r="L48" s="128">
        <f t="shared" si="50"/>
        <v>48</v>
      </c>
      <c r="M48" s="128">
        <f t="shared" si="50"/>
        <v>5</v>
      </c>
      <c r="N48" s="128" t="str">
        <f t="shared" si="50"/>
        <v>-</v>
      </c>
      <c r="O48" s="128" t="str">
        <f t="shared" si="50"/>
        <v>-</v>
      </c>
      <c r="P48" s="128" t="str">
        <f t="shared" si="50"/>
        <v>-</v>
      </c>
      <c r="Q48" s="128">
        <f t="shared" si="50"/>
        <v>6.5</v>
      </c>
      <c r="R48" s="128">
        <f t="shared" si="50"/>
        <v>10.25</v>
      </c>
      <c r="S48" s="128" t="str">
        <f t="shared" si="50"/>
        <v>-</v>
      </c>
      <c r="T48" s="128">
        <f t="shared" si="50"/>
        <v>23.25</v>
      </c>
      <c r="U48" s="128">
        <f t="shared" si="50"/>
        <v>23.25</v>
      </c>
      <c r="V48" s="128" t="str">
        <f t="shared" si="50"/>
        <v>A-00545</v>
      </c>
      <c r="W48" s="128" t="str">
        <f t="shared" si="50"/>
        <v>A-00545</v>
      </c>
      <c r="X48" s="128" t="str">
        <f t="shared" ref="X48:Y48" si="51">X32</f>
        <v>A-00722</v>
      </c>
      <c r="Y48" s="128" t="str">
        <f t="shared" si="51"/>
        <v>A-00726</v>
      </c>
      <c r="Z48" s="128" t="str">
        <f t="shared" si="50"/>
        <v>A-00639</v>
      </c>
      <c r="AA48" s="129" t="str">
        <f t="shared" si="39"/>
        <v>A-00639</v>
      </c>
    </row>
    <row r="49" spans="8:27" x14ac:dyDescent="0.25">
      <c r="H49" s="113" t="s">
        <v>627</v>
      </c>
      <c r="I49" s="128">
        <f t="shared" ref="I49:Z49" si="52">I33</f>
        <v>36</v>
      </c>
      <c r="J49" s="128">
        <f t="shared" si="52"/>
        <v>74</v>
      </c>
      <c r="K49" s="128">
        <f t="shared" si="52"/>
        <v>62</v>
      </c>
      <c r="L49" s="128">
        <f t="shared" si="52"/>
        <v>52</v>
      </c>
      <c r="M49" s="128">
        <f t="shared" si="52"/>
        <v>7.25</v>
      </c>
      <c r="N49" s="128">
        <f t="shared" si="52"/>
        <v>13.625</v>
      </c>
      <c r="O49" s="128">
        <f t="shared" si="52"/>
        <v>11</v>
      </c>
      <c r="P49" s="128">
        <f t="shared" si="52"/>
        <v>21.25</v>
      </c>
      <c r="Q49" s="128" t="str">
        <f t="shared" si="52"/>
        <v>-</v>
      </c>
      <c r="R49" s="128" t="str">
        <f t="shared" si="52"/>
        <v>-</v>
      </c>
      <c r="S49" s="128">
        <f t="shared" si="52"/>
        <v>18.75</v>
      </c>
      <c r="T49" s="128" t="str">
        <f t="shared" si="52"/>
        <v>-</v>
      </c>
      <c r="U49" s="128" t="str">
        <f t="shared" si="52"/>
        <v>-</v>
      </c>
      <c r="V49" s="128" t="str">
        <f t="shared" si="52"/>
        <v>A-00425</v>
      </c>
      <c r="W49" s="128" t="str">
        <f t="shared" si="52"/>
        <v>A-00425</v>
      </c>
      <c r="X49" s="128" t="str">
        <f t="shared" ref="X49:Y49" si="53">X33</f>
        <v>A-00427</v>
      </c>
      <c r="Y49" s="128" t="str">
        <f t="shared" si="53"/>
        <v>A-00427</v>
      </c>
      <c r="Z49" s="128" t="str">
        <f t="shared" si="52"/>
        <v>-</v>
      </c>
      <c r="AA49" s="129" t="str">
        <f t="shared" si="39"/>
        <v>-</v>
      </c>
    </row>
    <row r="50" spans="8:27" x14ac:dyDescent="0.25">
      <c r="H50" s="113" t="s">
        <v>576</v>
      </c>
      <c r="I50" s="127">
        <f>33.75-IF(OR(RHPanel="RH Outswing",RHPanel="LH Inswing"),LHOverlap,RHOverlap)</f>
        <v>32</v>
      </c>
      <c r="J50" s="119">
        <v>68</v>
      </c>
      <c r="K50" s="119">
        <v>56</v>
      </c>
      <c r="L50" s="119">
        <v>48</v>
      </c>
      <c r="M50" s="119">
        <v>6.5</v>
      </c>
      <c r="N50" s="119" t="s">
        <v>659</v>
      </c>
      <c r="O50" s="119" t="s">
        <v>659</v>
      </c>
      <c r="P50" s="119" t="s">
        <v>659</v>
      </c>
      <c r="Q50" s="127">
        <v>7.25</v>
      </c>
      <c r="R50" s="127">
        <v>13</v>
      </c>
      <c r="S50" s="127" t="s">
        <v>659</v>
      </c>
      <c r="T50" s="127">
        <f>IF(LHReveal&lt;=1.5,0.333*LHReveal+20.25,IF(LHReveal&lt;=5,0.643*LHReveal+22.535,IF(LHReveal&lt;=9,0.875*LHReveal+24.875,IF(LHReveal&lt;=13,0.9375*LHReveal+28.5625))))</f>
        <v>20.25</v>
      </c>
      <c r="U50" s="127">
        <f>IF(RHReveal&lt;=1.5,0.333*RHReveal+20.25,IF(RHReveal&lt;=5,0.643*RHReveal+22.535,IF(RHReveal&lt;=9,0.875*RHReveal+24.875,IF(RHReveal&lt;=13,0.9375*RHReveal+28.5625))))</f>
        <v>20.25</v>
      </c>
      <c r="V50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0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0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0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0" s="48" t="str">
        <f>IF(RHReveal&lt;=7.25,"A-00639","A-00481")</f>
        <v>A-00639</v>
      </c>
      <c r="AA50" s="164" t="str">
        <f>IF(LHReveal&lt;=7.25,"A-00639","A-00481")</f>
        <v>A-00639</v>
      </c>
    </row>
    <row r="51" spans="8:27" x14ac:dyDescent="0.25">
      <c r="H51" s="113" t="s">
        <v>628</v>
      </c>
      <c r="I51" s="127">
        <f>33.75-IF(OR(RHPanel="RH Outswing",RHPanel="LH Inswing"),LHOverlap,RHOverlap)</f>
        <v>32</v>
      </c>
      <c r="J51" s="119">
        <v>68</v>
      </c>
      <c r="K51" s="119">
        <v>56</v>
      </c>
      <c r="L51" s="119">
        <v>48</v>
      </c>
      <c r="M51" s="119">
        <v>6.5</v>
      </c>
      <c r="N51" s="119">
        <v>18.125</v>
      </c>
      <c r="O51" s="119">
        <v>6.75</v>
      </c>
      <c r="P51" s="119">
        <v>16</v>
      </c>
      <c r="Q51" s="127" t="s">
        <v>659</v>
      </c>
      <c r="R51" s="127" t="s">
        <v>659</v>
      </c>
      <c r="S51" s="127">
        <v>18</v>
      </c>
      <c r="T51" s="127" t="s">
        <v>659</v>
      </c>
      <c r="U51" s="127" t="s">
        <v>659</v>
      </c>
      <c r="V51" s="139" t="str">
        <f>IF(RHReveal&lt;=6.75,"A-00425","A-00426")</f>
        <v>A-00425</v>
      </c>
      <c r="W51" s="139" t="str">
        <f>IF(LHReveal&lt;=6.75,"A-00425","A-00426")</f>
        <v>A-00425</v>
      </c>
      <c r="X51" s="139" t="str">
        <f>IF(RHReveal&lt;=6.75,"A-00427","A-00428")</f>
        <v>A-00427</v>
      </c>
      <c r="Y51" s="139" t="str">
        <f>IF(LHReveal&lt;=6.75,"A-00427","A-00428")</f>
        <v>A-00427</v>
      </c>
      <c r="Z51" s="127" t="s">
        <v>659</v>
      </c>
      <c r="AA51" s="137" t="s">
        <v>659</v>
      </c>
    </row>
    <row r="52" spans="8:27" x14ac:dyDescent="0.25">
      <c r="H52" s="113" t="s">
        <v>577</v>
      </c>
      <c r="I52" s="127">
        <f>36.75-IF(OR(RHPanel="RH Outswing",RHPanel="LH Inswing"),LHOverlap,RHOverlap)</f>
        <v>35</v>
      </c>
      <c r="J52" s="119">
        <v>74</v>
      </c>
      <c r="K52" s="119">
        <v>62</v>
      </c>
      <c r="L52" s="119">
        <v>54</v>
      </c>
      <c r="M52" s="119">
        <v>9.375</v>
      </c>
      <c r="N52" s="119" t="s">
        <v>659</v>
      </c>
      <c r="O52" s="119" t="s">
        <v>659</v>
      </c>
      <c r="P52" s="119" t="s">
        <v>659</v>
      </c>
      <c r="Q52" s="127">
        <v>6.25</v>
      </c>
      <c r="R52" s="127">
        <v>11.5</v>
      </c>
      <c r="S52" s="127" t="s">
        <v>659</v>
      </c>
      <c r="T52" s="127">
        <f>IF(LHReveal&lt;=1.5,0.5*LHReveal+23.75,IF(LHReveal&lt;=5,0.786*LHReveal+26.07,IF(LHReveal&lt;=9,0.9375*LHReveal+28.8125,IF(LHReveal&lt;=11.5,LHReveal+32.5))))</f>
        <v>23.75</v>
      </c>
      <c r="U52" s="127">
        <f>IF(RHReveal&lt;=1.5,0.5*RHReveal+23.75,IF(RHReveal&lt;=5,0.786*RHReveal+26.07,IF(RHReveal&lt;=9,0.9375*RHReveal+28.8125,IF(RHReveal&lt;=11.5,RHReveal+32.5))))</f>
        <v>23.75</v>
      </c>
      <c r="V52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2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2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2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2" s="48" t="str">
        <f>IF(RHReveal&lt;=6.25,"A-00639","A-00481")</f>
        <v>A-00639</v>
      </c>
      <c r="AA52" s="164" t="str">
        <f>IF(LHReveal&lt;=6.25,"A-00639","A-00481")</f>
        <v>A-00639</v>
      </c>
    </row>
    <row r="53" spans="8:27" x14ac:dyDescent="0.25">
      <c r="H53" s="113" t="s">
        <v>629</v>
      </c>
      <c r="I53" s="127">
        <f>38.75-IF(OR(RHPanel="RH Outswing",RHPanel="LH Inswing"),LHOverlap,RHOverlap)</f>
        <v>37</v>
      </c>
      <c r="J53" s="119">
        <v>79</v>
      </c>
      <c r="K53" s="119">
        <v>67</v>
      </c>
      <c r="L53" s="119">
        <v>59</v>
      </c>
      <c r="M53" s="119">
        <v>11.75</v>
      </c>
      <c r="N53" s="119">
        <v>19.125</v>
      </c>
      <c r="O53" s="119">
        <v>8.5</v>
      </c>
      <c r="P53" s="119">
        <v>19</v>
      </c>
      <c r="Q53" s="127" t="s">
        <v>659</v>
      </c>
      <c r="R53" s="127" t="s">
        <v>659</v>
      </c>
      <c r="S53" s="127">
        <v>23.25</v>
      </c>
      <c r="T53" s="127" t="s">
        <v>659</v>
      </c>
      <c r="U53" s="127" t="s">
        <v>659</v>
      </c>
      <c r="V53" s="139" t="str">
        <f>IF(RHReveal&lt;=8.5,"A-00425","A-00426")</f>
        <v>A-00425</v>
      </c>
      <c r="W53" s="139" t="str">
        <f>IF(LHReveal&lt;=8.5,"A-00425","A-00426")</f>
        <v>A-00425</v>
      </c>
      <c r="X53" s="139" t="str">
        <f>IF(RHReveal&lt;=8.5,"A-00427","A-00428")</f>
        <v>A-00427</v>
      </c>
      <c r="Y53" s="139" t="str">
        <f>IF(LHReveal&lt;=8.5,"A-00427","A-00428")</f>
        <v>A-00427</v>
      </c>
      <c r="Z53" s="127" t="s">
        <v>659</v>
      </c>
      <c r="AA53" s="137" t="s">
        <v>659</v>
      </c>
    </row>
    <row r="54" spans="8:27" x14ac:dyDescent="0.25">
      <c r="H54" s="113" t="s">
        <v>578</v>
      </c>
      <c r="I54" s="127">
        <f>35.75-IF(OR(RHPanel="RH Outswing",RHPanel="LH Inswing"),LHOverlap,RHOverlap)</f>
        <v>34</v>
      </c>
      <c r="J54" s="119">
        <v>72</v>
      </c>
      <c r="K54" s="119">
        <v>60</v>
      </c>
      <c r="L54" s="119">
        <v>52</v>
      </c>
      <c r="M54" s="119">
        <v>8.375</v>
      </c>
      <c r="N54" s="119" t="s">
        <v>659</v>
      </c>
      <c r="O54" s="119" t="s">
        <v>659</v>
      </c>
      <c r="P54" s="119" t="s">
        <v>659</v>
      </c>
      <c r="Q54" s="127">
        <v>6.25</v>
      </c>
      <c r="R54" s="127">
        <v>11.5</v>
      </c>
      <c r="S54" s="127" t="s">
        <v>659</v>
      </c>
      <c r="T54" s="127">
        <f>IF(LHReveal&lt;=1.5,0.5*LHReveal+22.75,IF(LHReveal&lt;=5,0.786*LHReveal+25.07,IF(LHReveal&lt;=9,0.9375*LHReveal+27.8125,IF(LHReveal&lt;=11.5,LHReveal+31.5))))</f>
        <v>22.75</v>
      </c>
      <c r="U54" s="127">
        <f>IF(RHReveal&lt;=1.5,0.5*RHReveal+22.75,IF(RHReveal&lt;=5,0.786*RHReveal+25.07,IF(RHReveal&lt;=9,0.9375*RHReveal+27.8125,IF(RHReveal&lt;=11.5,RHReveal+31.5))))</f>
        <v>22.75</v>
      </c>
      <c r="V54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4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4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4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4" s="48" t="str">
        <f>IF(RHReveal&lt;=6.25,"A-00639","A-00481")</f>
        <v>A-00639</v>
      </c>
      <c r="AA54" s="164" t="str">
        <f>IF(LHReveal&lt;=6.25,"A-00639","A-00481")</f>
        <v>A-00639</v>
      </c>
    </row>
    <row r="55" spans="8:27" x14ac:dyDescent="0.25">
      <c r="H55" s="113" t="s">
        <v>630</v>
      </c>
      <c r="I55" s="127">
        <f>37.75-IF(OR(RHPanel="RH Outswing",RHPanel="LH Inswing"),LHOverlap,RHOverlap)</f>
        <v>36</v>
      </c>
      <c r="J55" s="119">
        <v>77</v>
      </c>
      <c r="K55" s="119">
        <v>65</v>
      </c>
      <c r="L55" s="119">
        <v>57</v>
      </c>
      <c r="M55" s="119">
        <v>10.75</v>
      </c>
      <c r="N55" s="119">
        <v>18.125</v>
      </c>
      <c r="O55" s="119">
        <v>8.5</v>
      </c>
      <c r="P55" s="119">
        <v>19</v>
      </c>
      <c r="Q55" s="119" t="s">
        <v>659</v>
      </c>
      <c r="R55" s="119" t="s">
        <v>659</v>
      </c>
      <c r="S55" s="119">
        <v>22.25</v>
      </c>
      <c r="T55" s="119" t="s">
        <v>659</v>
      </c>
      <c r="U55" s="119" t="s">
        <v>659</v>
      </c>
      <c r="V55" s="139" t="str">
        <f>IF(RHReveal&lt;=8.5,"A-00425","A-00426")</f>
        <v>A-00425</v>
      </c>
      <c r="W55" s="139" t="str">
        <f>IF(LHReveal&lt;=8.5,"A-00425","A-00426")</f>
        <v>A-00425</v>
      </c>
      <c r="X55" s="139" t="str">
        <f>IF(RHReveal&lt;=8.5,"A-00427","A-00428")</f>
        <v>A-00427</v>
      </c>
      <c r="Y55" s="139" t="str">
        <f>IF(LHReveal&lt;=8.5,"A-00427","A-00428")</f>
        <v>A-00427</v>
      </c>
      <c r="Z55" s="119" t="s">
        <v>659</v>
      </c>
      <c r="AA55" s="121" t="s">
        <v>659</v>
      </c>
    </row>
    <row r="56" spans="8:27" x14ac:dyDescent="0.25">
      <c r="H56" s="113" t="s">
        <v>579</v>
      </c>
      <c r="I56" s="128">
        <f>33.75-IF(OR(RHPanel="RH Outswing",RHPanel="LH Inswing"),LHOverlap,RHOverlap)</f>
        <v>32</v>
      </c>
      <c r="J56" s="128">
        <v>68</v>
      </c>
      <c r="K56" s="128">
        <v>56</v>
      </c>
      <c r="L56" s="128">
        <v>48</v>
      </c>
      <c r="M56" s="128">
        <v>6.5</v>
      </c>
      <c r="N56" s="128" t="s">
        <v>659</v>
      </c>
      <c r="O56" s="128" t="s">
        <v>659</v>
      </c>
      <c r="P56" s="128" t="s">
        <v>659</v>
      </c>
      <c r="Q56" s="128">
        <v>7.25</v>
      </c>
      <c r="R56" s="128">
        <v>13</v>
      </c>
      <c r="S56" s="128" t="s">
        <v>659</v>
      </c>
      <c r="T56" s="128">
        <f>IF(LHReveal&lt;=1.5,0.333*LHReveal+20.25,IF(LHReveal&lt;=5,0.643*LHReveal+22.535,IF(LHReveal&lt;=9,0.875*LHReveal+24.875,IF(LHReveal&lt;=13,0.9375*LHReveal+28.5625))))</f>
        <v>20.25</v>
      </c>
      <c r="U56" s="128">
        <f>IF(RHReveal&lt;=1.5,0.333*RHReveal+20.25,IF(RHReveal&lt;=5,0.643*RHReveal+22.535,IF(RHReveal&lt;=9,0.875*RHReveal+24.875,IF(RHReveal&lt;=13,0.9375*RHReveal+28.5625))))</f>
        <v>20.25</v>
      </c>
      <c r="V56" s="140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6" s="140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6" s="140" t="str">
        <f>IF(RHReveal&lt;=1.5,IF(RHHand="LH","A-00675","A-00658"),IF(RHReveal&lt;=5,IF(RHHand="LH","A-00676","A-00671"),IF(RHReveal&lt;=9,IF(RHHand="LH","A-00677","A-00672"),IF(RHHand="LH","A-00678","A-00673"))))</f>
        <v>A-00658</v>
      </c>
      <c r="Y56" s="140" t="str">
        <f>IF(LHReveal&lt;=1.5,IF(LHHand="LH","A-00675","A-00658"),IF(LHReveal&lt;=5,IF(LHHand="LH","A-00676","A-00671"),IF(LHReveal&lt;=9,IF(LHHand="LH","A-00677","A-00672"),IF(LHHand="LH","A-00678","A-00673"))))</f>
        <v>A-00675</v>
      </c>
      <c r="Z56" s="69" t="str">
        <f>IF(RHReveal&lt;=7.25,"A-00639","A-00481")</f>
        <v>A-00639</v>
      </c>
      <c r="AA56" s="165" t="str">
        <f>IF(LHReveal&lt;=7.25,"A-00639","A-00481")</f>
        <v>A-00639</v>
      </c>
    </row>
    <row r="57" spans="8:27" x14ac:dyDescent="0.25">
      <c r="H57" s="113" t="s">
        <v>631</v>
      </c>
      <c r="I57" s="128">
        <f>33.75-IF(OR(RHPanel="RH Outswing",RHPanel="LH Inswing"),LHOverlap,RHOverlap)</f>
        <v>32</v>
      </c>
      <c r="J57" s="128">
        <v>68</v>
      </c>
      <c r="K57" s="128">
        <v>56</v>
      </c>
      <c r="L57" s="128">
        <v>48</v>
      </c>
      <c r="M57" s="128">
        <v>6.5</v>
      </c>
      <c r="N57" s="128">
        <v>18.125</v>
      </c>
      <c r="O57" s="128">
        <v>6.75</v>
      </c>
      <c r="P57" s="128">
        <v>16</v>
      </c>
      <c r="Q57" s="128" t="s">
        <v>659</v>
      </c>
      <c r="R57" s="128" t="s">
        <v>659</v>
      </c>
      <c r="S57" s="128">
        <v>18</v>
      </c>
      <c r="T57" s="128" t="s">
        <v>659</v>
      </c>
      <c r="U57" s="128" t="s">
        <v>659</v>
      </c>
      <c r="V57" s="140" t="str">
        <f>IF(RHReveal&lt;=6.75,"A-00425","A-00426")</f>
        <v>A-00425</v>
      </c>
      <c r="W57" s="140" t="str">
        <f>IF(LHReveal&lt;=6.75,"A-00425","A-00426")</f>
        <v>A-00425</v>
      </c>
      <c r="X57" s="140" t="str">
        <f>IF(RHReveal&lt;=6.75,"A-00427","A-00428")</f>
        <v>A-00427</v>
      </c>
      <c r="Y57" s="140" t="str">
        <f>IF(LHReveal&lt;=6.75,"A-00427","A-00428")</f>
        <v>A-00427</v>
      </c>
      <c r="Z57" s="128" t="s">
        <v>659</v>
      </c>
      <c r="AA57" s="129" t="s">
        <v>659</v>
      </c>
    </row>
    <row r="58" spans="8:27" x14ac:dyDescent="0.25">
      <c r="H58" s="113" t="s">
        <v>580</v>
      </c>
      <c r="I58" s="119">
        <f>I10</f>
        <v>36</v>
      </c>
      <c r="J58" s="119">
        <f t="shared" ref="J58:U58" si="54">J10</f>
        <v>74</v>
      </c>
      <c r="K58" s="119">
        <f t="shared" si="54"/>
        <v>62</v>
      </c>
      <c r="L58" s="119">
        <f t="shared" si="54"/>
        <v>52</v>
      </c>
      <c r="M58" s="119">
        <f t="shared" si="54"/>
        <v>7.25</v>
      </c>
      <c r="N58" s="119" t="str">
        <f t="shared" si="54"/>
        <v>-</v>
      </c>
      <c r="O58" s="119" t="str">
        <f t="shared" si="54"/>
        <v>-</v>
      </c>
      <c r="P58" s="119" t="str">
        <f t="shared" si="54"/>
        <v>-</v>
      </c>
      <c r="Q58" s="119" t="str">
        <f t="shared" si="54"/>
        <v>-</v>
      </c>
      <c r="R58" s="128" t="str">
        <f t="shared" si="54"/>
        <v>?</v>
      </c>
      <c r="S58" s="119" t="str">
        <f t="shared" si="54"/>
        <v>-</v>
      </c>
      <c r="T58" s="119" t="str">
        <f t="shared" ref="T58" si="55">T10</f>
        <v>-</v>
      </c>
      <c r="U58" s="119" t="str">
        <f t="shared" si="54"/>
        <v>-</v>
      </c>
      <c r="V58" s="127" t="str">
        <f>V10</f>
        <v>A-00545</v>
      </c>
      <c r="W58" s="127" t="str">
        <f t="shared" ref="W58:Y58" si="56">W10</f>
        <v>A-00545</v>
      </c>
      <c r="X58" s="127" t="str">
        <f t="shared" si="56"/>
        <v>A-00545</v>
      </c>
      <c r="Y58" s="127" t="str">
        <f t="shared" si="56"/>
        <v>A-00545</v>
      </c>
      <c r="Z58" s="119" t="str">
        <f t="shared" ref="Z58:AA58" si="57">Z10</f>
        <v>-</v>
      </c>
      <c r="AA58" s="121" t="str">
        <f t="shared" si="57"/>
        <v>-</v>
      </c>
    </row>
    <row r="59" spans="8:27" x14ac:dyDescent="0.25">
      <c r="H59" s="113" t="s">
        <v>632</v>
      </c>
      <c r="I59" s="119">
        <f t="shared" ref="I59:AA59" si="58">I11</f>
        <v>36</v>
      </c>
      <c r="J59" s="119">
        <f t="shared" si="58"/>
        <v>74</v>
      </c>
      <c r="K59" s="119">
        <f t="shared" si="58"/>
        <v>62</v>
      </c>
      <c r="L59" s="119">
        <f t="shared" si="58"/>
        <v>52</v>
      </c>
      <c r="M59" s="119">
        <f t="shared" si="58"/>
        <v>7.25</v>
      </c>
      <c r="N59" s="119">
        <f t="shared" si="58"/>
        <v>13.625</v>
      </c>
      <c r="O59" s="119">
        <f t="shared" si="58"/>
        <v>11</v>
      </c>
      <c r="P59" s="119" t="str">
        <f t="shared" si="58"/>
        <v>21.25</v>
      </c>
      <c r="Q59" s="119" t="str">
        <f t="shared" si="58"/>
        <v>-</v>
      </c>
      <c r="R59" s="119" t="str">
        <f t="shared" si="58"/>
        <v>-</v>
      </c>
      <c r="S59" s="119" t="str">
        <f t="shared" si="58"/>
        <v>-</v>
      </c>
      <c r="T59" s="119" t="str">
        <f t="shared" ref="T59" si="59">T11</f>
        <v>-</v>
      </c>
      <c r="U59" s="119" t="str">
        <f t="shared" si="58"/>
        <v>-</v>
      </c>
      <c r="V59" s="127" t="str">
        <f t="shared" si="58"/>
        <v>A-00545</v>
      </c>
      <c r="W59" s="127" t="str">
        <f t="shared" si="58"/>
        <v>A-00545</v>
      </c>
      <c r="X59" s="127" t="str">
        <f t="shared" si="58"/>
        <v>A-00545</v>
      </c>
      <c r="Y59" s="127" t="str">
        <f t="shared" si="58"/>
        <v>A-00545</v>
      </c>
      <c r="Z59" s="119" t="str">
        <f t="shared" si="58"/>
        <v>-</v>
      </c>
      <c r="AA59" s="121" t="str">
        <f t="shared" si="58"/>
        <v>-</v>
      </c>
    </row>
    <row r="60" spans="8:27" x14ac:dyDescent="0.25">
      <c r="H60" s="113" t="s">
        <v>581</v>
      </c>
      <c r="I60" s="119">
        <f t="shared" ref="I60:AA60" si="60">I12</f>
        <v>37</v>
      </c>
      <c r="J60" s="119">
        <f t="shared" si="60"/>
        <v>76</v>
      </c>
      <c r="K60" s="119">
        <f t="shared" si="60"/>
        <v>64</v>
      </c>
      <c r="L60" s="119">
        <f t="shared" si="60"/>
        <v>54</v>
      </c>
      <c r="M60" s="119">
        <f t="shared" si="60"/>
        <v>8.25</v>
      </c>
      <c r="N60" s="119" t="str">
        <f t="shared" si="60"/>
        <v>-</v>
      </c>
      <c r="O60" s="119" t="str">
        <f t="shared" si="60"/>
        <v>-</v>
      </c>
      <c r="P60" s="119" t="str">
        <f t="shared" si="60"/>
        <v>-</v>
      </c>
      <c r="Q60" s="119" t="str">
        <f t="shared" si="60"/>
        <v>-</v>
      </c>
      <c r="R60" s="119" t="str">
        <f t="shared" si="60"/>
        <v>-</v>
      </c>
      <c r="S60" s="119" t="str">
        <f t="shared" si="60"/>
        <v>-</v>
      </c>
      <c r="T60" s="119" t="str">
        <f t="shared" ref="T60" si="61">T12</f>
        <v>-</v>
      </c>
      <c r="U60" s="119" t="str">
        <f t="shared" si="60"/>
        <v>-</v>
      </c>
      <c r="V60" s="127" t="str">
        <f t="shared" si="60"/>
        <v>A-00458</v>
      </c>
      <c r="W60" s="127" t="str">
        <f t="shared" si="60"/>
        <v>A-00458</v>
      </c>
      <c r="X60" s="127" t="str">
        <f t="shared" si="60"/>
        <v>A-00458</v>
      </c>
      <c r="Y60" s="127" t="str">
        <f t="shared" si="60"/>
        <v>A-00458</v>
      </c>
      <c r="Z60" s="119" t="str">
        <f t="shared" si="60"/>
        <v>-</v>
      </c>
      <c r="AA60" s="121" t="str">
        <f t="shared" si="60"/>
        <v>-</v>
      </c>
    </row>
    <row r="61" spans="8:27" x14ac:dyDescent="0.25">
      <c r="H61" s="113" t="s">
        <v>633</v>
      </c>
      <c r="I61" s="119">
        <f t="shared" ref="I61:AA61" si="62">I13</f>
        <v>37</v>
      </c>
      <c r="J61" s="119">
        <f t="shared" si="62"/>
        <v>76</v>
      </c>
      <c r="K61" s="119">
        <f t="shared" si="62"/>
        <v>64</v>
      </c>
      <c r="L61" s="119">
        <f t="shared" si="62"/>
        <v>54</v>
      </c>
      <c r="M61" s="119">
        <f t="shared" si="62"/>
        <v>8.25</v>
      </c>
      <c r="N61" s="119" t="str">
        <f t="shared" si="62"/>
        <v>-</v>
      </c>
      <c r="O61" s="119" t="str">
        <f t="shared" si="62"/>
        <v>-</v>
      </c>
      <c r="P61" s="119" t="str">
        <f t="shared" si="62"/>
        <v>-</v>
      </c>
      <c r="Q61" s="119" t="str">
        <f t="shared" si="62"/>
        <v>-</v>
      </c>
      <c r="R61" s="119" t="str">
        <f t="shared" si="62"/>
        <v>-</v>
      </c>
      <c r="S61" s="119" t="str">
        <f t="shared" si="62"/>
        <v>-</v>
      </c>
      <c r="T61" s="119" t="str">
        <f t="shared" ref="T61" si="63">T13</f>
        <v>-</v>
      </c>
      <c r="U61" s="119" t="str">
        <f t="shared" si="62"/>
        <v>-</v>
      </c>
      <c r="V61" s="127" t="str">
        <f t="shared" si="62"/>
        <v>A-00458</v>
      </c>
      <c r="W61" s="127" t="str">
        <f t="shared" si="62"/>
        <v>A-00458</v>
      </c>
      <c r="X61" s="127" t="str">
        <f t="shared" si="62"/>
        <v>A-00458</v>
      </c>
      <c r="Y61" s="127" t="str">
        <f t="shared" si="62"/>
        <v>A-00458</v>
      </c>
      <c r="Z61" s="119" t="str">
        <f t="shared" si="62"/>
        <v>-</v>
      </c>
      <c r="AA61" s="121" t="str">
        <f t="shared" si="62"/>
        <v>-</v>
      </c>
    </row>
    <row r="62" spans="8:27" x14ac:dyDescent="0.25">
      <c r="H62" s="113" t="s">
        <v>582</v>
      </c>
      <c r="I62" s="119">
        <f t="shared" ref="I62:AA62" si="64">I14</f>
        <v>36</v>
      </c>
      <c r="J62" s="119">
        <f t="shared" si="64"/>
        <v>74</v>
      </c>
      <c r="K62" s="119">
        <f t="shared" si="64"/>
        <v>62</v>
      </c>
      <c r="L62" s="119">
        <f t="shared" si="64"/>
        <v>52</v>
      </c>
      <c r="M62" s="119">
        <f t="shared" si="64"/>
        <v>7.25</v>
      </c>
      <c r="N62" s="119" t="str">
        <f t="shared" si="64"/>
        <v>-</v>
      </c>
      <c r="O62" s="119" t="str">
        <f t="shared" si="64"/>
        <v>-</v>
      </c>
      <c r="P62" s="119" t="str">
        <f t="shared" si="64"/>
        <v>-</v>
      </c>
      <c r="Q62" s="119" t="str">
        <f t="shared" si="64"/>
        <v>-</v>
      </c>
      <c r="R62" s="119" t="str">
        <f t="shared" si="64"/>
        <v>-</v>
      </c>
      <c r="S62" s="119" t="str">
        <f t="shared" si="64"/>
        <v>-</v>
      </c>
      <c r="T62" s="119" t="str">
        <f t="shared" ref="T62" si="65">T14</f>
        <v>-</v>
      </c>
      <c r="U62" s="119" t="str">
        <f t="shared" si="64"/>
        <v>-</v>
      </c>
      <c r="V62" s="127" t="str">
        <f t="shared" si="64"/>
        <v>A-00458</v>
      </c>
      <c r="W62" s="127" t="str">
        <f t="shared" si="64"/>
        <v>A-00458</v>
      </c>
      <c r="X62" s="127" t="str">
        <f t="shared" si="64"/>
        <v>A-00458</v>
      </c>
      <c r="Y62" s="127" t="str">
        <f t="shared" si="64"/>
        <v>A-00458</v>
      </c>
      <c r="Z62" s="119" t="str">
        <f t="shared" si="64"/>
        <v>-</v>
      </c>
      <c r="AA62" s="121" t="str">
        <f t="shared" si="64"/>
        <v>-</v>
      </c>
    </row>
    <row r="63" spans="8:27" x14ac:dyDescent="0.25">
      <c r="H63" s="113" t="s">
        <v>634</v>
      </c>
      <c r="I63" s="119">
        <f t="shared" ref="I63:AA63" si="66">I15</f>
        <v>36</v>
      </c>
      <c r="J63" s="119">
        <f t="shared" si="66"/>
        <v>74</v>
      </c>
      <c r="K63" s="119">
        <f t="shared" si="66"/>
        <v>62</v>
      </c>
      <c r="L63" s="119">
        <f t="shared" si="66"/>
        <v>52</v>
      </c>
      <c r="M63" s="119">
        <f t="shared" si="66"/>
        <v>7.25</v>
      </c>
      <c r="N63" s="119" t="str">
        <f t="shared" si="66"/>
        <v>-</v>
      </c>
      <c r="O63" s="119" t="str">
        <f t="shared" si="66"/>
        <v>-</v>
      </c>
      <c r="P63" s="119" t="str">
        <f t="shared" si="66"/>
        <v>-</v>
      </c>
      <c r="Q63" s="119" t="str">
        <f t="shared" si="66"/>
        <v>-</v>
      </c>
      <c r="R63" s="119" t="str">
        <f t="shared" si="66"/>
        <v>-</v>
      </c>
      <c r="S63" s="119" t="str">
        <f t="shared" si="66"/>
        <v>-</v>
      </c>
      <c r="T63" s="119" t="str">
        <f t="shared" ref="T63" si="67">T15</f>
        <v>-</v>
      </c>
      <c r="U63" s="119" t="str">
        <f t="shared" si="66"/>
        <v>-</v>
      </c>
      <c r="V63" s="127" t="str">
        <f t="shared" si="66"/>
        <v>A-00458</v>
      </c>
      <c r="W63" s="127" t="str">
        <f t="shared" si="66"/>
        <v>A-00458</v>
      </c>
      <c r="X63" s="127" t="str">
        <f t="shared" si="66"/>
        <v>A-00458</v>
      </c>
      <c r="Y63" s="127" t="str">
        <f t="shared" si="66"/>
        <v>A-00458</v>
      </c>
      <c r="Z63" s="119" t="str">
        <f t="shared" si="66"/>
        <v>-</v>
      </c>
      <c r="AA63" s="121" t="str">
        <f t="shared" si="66"/>
        <v>-</v>
      </c>
    </row>
    <row r="64" spans="8:27" x14ac:dyDescent="0.25">
      <c r="H64" s="113" t="s">
        <v>583</v>
      </c>
      <c r="I64" s="128">
        <f t="shared" ref="I64:AA64" si="68">I16</f>
        <v>36</v>
      </c>
      <c r="J64" s="128">
        <f t="shared" si="68"/>
        <v>74</v>
      </c>
      <c r="K64" s="128">
        <f t="shared" si="68"/>
        <v>62</v>
      </c>
      <c r="L64" s="128">
        <f t="shared" si="68"/>
        <v>52</v>
      </c>
      <c r="M64" s="128">
        <f t="shared" si="68"/>
        <v>7.25</v>
      </c>
      <c r="N64" s="128" t="str">
        <f t="shared" si="68"/>
        <v>-</v>
      </c>
      <c r="O64" s="128" t="str">
        <f t="shared" si="68"/>
        <v>-</v>
      </c>
      <c r="P64" s="128" t="str">
        <f t="shared" si="68"/>
        <v>-</v>
      </c>
      <c r="Q64" s="128" t="str">
        <f t="shared" si="68"/>
        <v>-</v>
      </c>
      <c r="R64" s="128" t="str">
        <f t="shared" si="68"/>
        <v>?</v>
      </c>
      <c r="S64" s="128" t="str">
        <f t="shared" si="68"/>
        <v>-</v>
      </c>
      <c r="T64" s="128" t="str">
        <f t="shared" ref="T64" si="69">T16</f>
        <v>-</v>
      </c>
      <c r="U64" s="128" t="str">
        <f t="shared" si="68"/>
        <v>-</v>
      </c>
      <c r="V64" s="128" t="str">
        <f t="shared" si="68"/>
        <v>A-00545</v>
      </c>
      <c r="W64" s="128" t="str">
        <f t="shared" si="68"/>
        <v>A-00545</v>
      </c>
      <c r="X64" s="128" t="str">
        <f t="shared" si="68"/>
        <v>A-00545</v>
      </c>
      <c r="Y64" s="128" t="str">
        <f t="shared" si="68"/>
        <v>A-00545</v>
      </c>
      <c r="Z64" s="128" t="str">
        <f t="shared" si="68"/>
        <v>-</v>
      </c>
      <c r="AA64" s="129" t="str">
        <f t="shared" si="68"/>
        <v>-</v>
      </c>
    </row>
    <row r="65" spans="8:27" x14ac:dyDescent="0.25">
      <c r="H65" s="113" t="s">
        <v>635</v>
      </c>
      <c r="I65" s="128">
        <f t="shared" ref="I65:AA65" si="70">I17</f>
        <v>36</v>
      </c>
      <c r="J65" s="128">
        <f t="shared" si="70"/>
        <v>74</v>
      </c>
      <c r="K65" s="128">
        <f t="shared" si="70"/>
        <v>62</v>
      </c>
      <c r="L65" s="128">
        <f t="shared" si="70"/>
        <v>52</v>
      </c>
      <c r="M65" s="128">
        <f t="shared" si="70"/>
        <v>7.25</v>
      </c>
      <c r="N65" s="128">
        <f t="shared" si="70"/>
        <v>13.625</v>
      </c>
      <c r="O65" s="128">
        <f t="shared" si="70"/>
        <v>11</v>
      </c>
      <c r="P65" s="128" t="str">
        <f t="shared" si="70"/>
        <v>21.25</v>
      </c>
      <c r="Q65" s="128" t="str">
        <f t="shared" si="70"/>
        <v>-</v>
      </c>
      <c r="R65" s="128" t="str">
        <f t="shared" si="70"/>
        <v>-</v>
      </c>
      <c r="S65" s="128" t="str">
        <f t="shared" si="70"/>
        <v>-</v>
      </c>
      <c r="T65" s="128" t="str">
        <f t="shared" ref="T65" si="71">T17</f>
        <v>-</v>
      </c>
      <c r="U65" s="128" t="str">
        <f t="shared" si="70"/>
        <v>-</v>
      </c>
      <c r="V65" s="128" t="str">
        <f t="shared" si="70"/>
        <v>A-00545</v>
      </c>
      <c r="W65" s="128" t="str">
        <f t="shared" si="70"/>
        <v>A-00545</v>
      </c>
      <c r="X65" s="128" t="str">
        <f t="shared" si="70"/>
        <v>A-00545</v>
      </c>
      <c r="Y65" s="128" t="str">
        <f t="shared" si="70"/>
        <v>A-00545</v>
      </c>
      <c r="Z65" s="128" t="str">
        <f t="shared" si="70"/>
        <v>-</v>
      </c>
      <c r="AA65" s="129" t="str">
        <f t="shared" si="70"/>
        <v>-</v>
      </c>
    </row>
    <row r="66" spans="8:27" x14ac:dyDescent="0.25">
      <c r="H66" s="113" t="s">
        <v>584</v>
      </c>
      <c r="I66" s="119">
        <v>36</v>
      </c>
      <c r="J66" s="119">
        <v>70</v>
      </c>
      <c r="K66" s="119">
        <v>60</v>
      </c>
      <c r="L66" s="119">
        <v>52</v>
      </c>
      <c r="M66" s="119">
        <v>8.25</v>
      </c>
      <c r="N66" s="119" t="s">
        <v>659</v>
      </c>
      <c r="O66" s="119" t="s">
        <v>659</v>
      </c>
      <c r="P66" s="119" t="s">
        <v>659</v>
      </c>
      <c r="Q66" s="119" t="s">
        <v>659</v>
      </c>
      <c r="R66" s="128" t="s">
        <v>661</v>
      </c>
      <c r="S66" s="119" t="s">
        <v>659</v>
      </c>
      <c r="T66" s="119" t="s">
        <v>659</v>
      </c>
      <c r="U66" s="119" t="s">
        <v>659</v>
      </c>
      <c r="V66" s="127" t="str">
        <f>V10</f>
        <v>A-00545</v>
      </c>
      <c r="W66" s="127" t="str">
        <f t="shared" ref="W66:Y66" si="72">W10</f>
        <v>A-00545</v>
      </c>
      <c r="X66" s="127" t="str">
        <f t="shared" si="72"/>
        <v>A-00545</v>
      </c>
      <c r="Y66" s="127" t="str">
        <f t="shared" si="72"/>
        <v>A-00545</v>
      </c>
      <c r="Z66" s="119" t="s">
        <v>659</v>
      </c>
      <c r="AA66" s="121" t="s">
        <v>659</v>
      </c>
    </row>
    <row r="67" spans="8:27" x14ac:dyDescent="0.25">
      <c r="H67" s="113" t="s">
        <v>636</v>
      </c>
      <c r="I67" s="119">
        <v>36</v>
      </c>
      <c r="J67" s="119">
        <v>70</v>
      </c>
      <c r="K67" s="119">
        <v>60</v>
      </c>
      <c r="L67" s="119">
        <v>52</v>
      </c>
      <c r="M67" s="119">
        <v>8.25</v>
      </c>
      <c r="N67" s="119">
        <v>18.125</v>
      </c>
      <c r="O67" s="119">
        <v>7.5</v>
      </c>
      <c r="P67" s="119">
        <v>13</v>
      </c>
      <c r="Q67" s="119" t="s">
        <v>659</v>
      </c>
      <c r="R67" s="119" t="s">
        <v>659</v>
      </c>
      <c r="S67" s="119" t="s">
        <v>659</v>
      </c>
      <c r="T67" s="119" t="s">
        <v>659</v>
      </c>
      <c r="U67" s="119" t="s">
        <v>659</v>
      </c>
      <c r="V67" s="127" t="str">
        <f t="shared" ref="V67:Y67" si="73">V11</f>
        <v>A-00545</v>
      </c>
      <c r="W67" s="127" t="str">
        <f t="shared" si="73"/>
        <v>A-00545</v>
      </c>
      <c r="X67" s="127" t="str">
        <f t="shared" si="73"/>
        <v>A-00545</v>
      </c>
      <c r="Y67" s="127" t="str">
        <f t="shared" si="73"/>
        <v>A-00545</v>
      </c>
      <c r="Z67" s="119" t="s">
        <v>659</v>
      </c>
      <c r="AA67" s="121" t="s">
        <v>659</v>
      </c>
    </row>
    <row r="68" spans="8:27" x14ac:dyDescent="0.25">
      <c r="H68" s="113" t="s">
        <v>585</v>
      </c>
      <c r="I68" s="119">
        <v>36</v>
      </c>
      <c r="J68" s="119">
        <v>70</v>
      </c>
      <c r="K68" s="119">
        <v>60</v>
      </c>
      <c r="L68" s="119">
        <v>52</v>
      </c>
      <c r="M68" s="119">
        <v>8.25</v>
      </c>
      <c r="N68" s="119" t="s">
        <v>659</v>
      </c>
      <c r="O68" s="119" t="s">
        <v>659</v>
      </c>
      <c r="P68" s="119" t="s">
        <v>659</v>
      </c>
      <c r="Q68" s="119" t="s">
        <v>659</v>
      </c>
      <c r="R68" s="119" t="s">
        <v>659</v>
      </c>
      <c r="S68" s="119" t="s">
        <v>659</v>
      </c>
      <c r="T68" s="119" t="s">
        <v>659</v>
      </c>
      <c r="U68" s="119" t="s">
        <v>659</v>
      </c>
      <c r="V68" s="127" t="str">
        <f t="shared" ref="V68:Y68" si="74">V12</f>
        <v>A-00458</v>
      </c>
      <c r="W68" s="127" t="str">
        <f t="shared" si="74"/>
        <v>A-00458</v>
      </c>
      <c r="X68" s="127" t="str">
        <f t="shared" si="74"/>
        <v>A-00458</v>
      </c>
      <c r="Y68" s="127" t="str">
        <f t="shared" si="74"/>
        <v>A-00458</v>
      </c>
      <c r="Z68" s="119" t="s">
        <v>659</v>
      </c>
      <c r="AA68" s="121" t="s">
        <v>659</v>
      </c>
    </row>
    <row r="69" spans="8:27" x14ac:dyDescent="0.25">
      <c r="H69" s="113" t="s">
        <v>637</v>
      </c>
      <c r="I69" s="119">
        <v>36</v>
      </c>
      <c r="J69" s="119">
        <v>70</v>
      </c>
      <c r="K69" s="119">
        <v>60</v>
      </c>
      <c r="L69" s="119">
        <v>52</v>
      </c>
      <c r="M69" s="119">
        <v>8.25</v>
      </c>
      <c r="N69" s="119" t="s">
        <v>659</v>
      </c>
      <c r="O69" s="119" t="s">
        <v>659</v>
      </c>
      <c r="P69" s="119" t="s">
        <v>659</v>
      </c>
      <c r="Q69" s="119" t="s">
        <v>659</v>
      </c>
      <c r="R69" s="119" t="s">
        <v>659</v>
      </c>
      <c r="S69" s="119" t="s">
        <v>659</v>
      </c>
      <c r="T69" s="119" t="s">
        <v>659</v>
      </c>
      <c r="U69" s="119" t="s">
        <v>659</v>
      </c>
      <c r="V69" s="127" t="str">
        <f t="shared" ref="V69:Y69" si="75">V13</f>
        <v>A-00458</v>
      </c>
      <c r="W69" s="127" t="str">
        <f t="shared" si="75"/>
        <v>A-00458</v>
      </c>
      <c r="X69" s="127" t="str">
        <f t="shared" si="75"/>
        <v>A-00458</v>
      </c>
      <c r="Y69" s="127" t="str">
        <f t="shared" si="75"/>
        <v>A-00458</v>
      </c>
      <c r="Z69" s="119" t="s">
        <v>659</v>
      </c>
      <c r="AA69" s="121" t="s">
        <v>659</v>
      </c>
    </row>
    <row r="70" spans="8:27" x14ac:dyDescent="0.25">
      <c r="H70" s="113" t="s">
        <v>586</v>
      </c>
      <c r="I70" s="119">
        <v>36</v>
      </c>
      <c r="J70" s="119">
        <v>70</v>
      </c>
      <c r="K70" s="119">
        <v>60</v>
      </c>
      <c r="L70" s="119">
        <v>52</v>
      </c>
      <c r="M70" s="119">
        <v>8.25</v>
      </c>
      <c r="N70" s="119" t="s">
        <v>659</v>
      </c>
      <c r="O70" s="119" t="s">
        <v>659</v>
      </c>
      <c r="P70" s="119" t="s">
        <v>659</v>
      </c>
      <c r="Q70" s="119" t="s">
        <v>659</v>
      </c>
      <c r="R70" s="119" t="s">
        <v>659</v>
      </c>
      <c r="S70" s="119" t="s">
        <v>659</v>
      </c>
      <c r="T70" s="119" t="s">
        <v>659</v>
      </c>
      <c r="U70" s="119" t="s">
        <v>659</v>
      </c>
      <c r="V70" s="127" t="str">
        <f t="shared" ref="V70:Y70" si="76">V14</f>
        <v>A-00458</v>
      </c>
      <c r="W70" s="127" t="str">
        <f t="shared" si="76"/>
        <v>A-00458</v>
      </c>
      <c r="X70" s="127" t="str">
        <f t="shared" si="76"/>
        <v>A-00458</v>
      </c>
      <c r="Y70" s="127" t="str">
        <f t="shared" si="76"/>
        <v>A-00458</v>
      </c>
      <c r="Z70" s="119" t="s">
        <v>659</v>
      </c>
      <c r="AA70" s="121" t="s">
        <v>659</v>
      </c>
    </row>
    <row r="71" spans="8:27" x14ac:dyDescent="0.25">
      <c r="H71" s="113" t="s">
        <v>638</v>
      </c>
      <c r="I71" s="119">
        <v>36</v>
      </c>
      <c r="J71" s="119">
        <v>70</v>
      </c>
      <c r="K71" s="119">
        <v>60</v>
      </c>
      <c r="L71" s="119">
        <v>52</v>
      </c>
      <c r="M71" s="119">
        <v>8.25</v>
      </c>
      <c r="N71" s="119" t="s">
        <v>659</v>
      </c>
      <c r="O71" s="119" t="s">
        <v>659</v>
      </c>
      <c r="P71" s="119" t="s">
        <v>659</v>
      </c>
      <c r="Q71" s="119" t="s">
        <v>659</v>
      </c>
      <c r="R71" s="119" t="s">
        <v>659</v>
      </c>
      <c r="S71" s="119" t="s">
        <v>659</v>
      </c>
      <c r="T71" s="119" t="s">
        <v>659</v>
      </c>
      <c r="U71" s="119" t="s">
        <v>659</v>
      </c>
      <c r="V71" s="127" t="str">
        <f t="shared" ref="V71:Y71" si="77">V15</f>
        <v>A-00458</v>
      </c>
      <c r="W71" s="127" t="str">
        <f t="shared" si="77"/>
        <v>A-00458</v>
      </c>
      <c r="X71" s="127" t="str">
        <f t="shared" si="77"/>
        <v>A-00458</v>
      </c>
      <c r="Y71" s="127" t="str">
        <f t="shared" si="77"/>
        <v>A-00458</v>
      </c>
      <c r="Z71" s="119" t="s">
        <v>659</v>
      </c>
      <c r="AA71" s="121" t="s">
        <v>659</v>
      </c>
    </row>
    <row r="72" spans="8:27" x14ac:dyDescent="0.25">
      <c r="H72" s="113" t="s">
        <v>587</v>
      </c>
      <c r="I72" s="128">
        <v>36</v>
      </c>
      <c r="J72" s="128">
        <v>70</v>
      </c>
      <c r="K72" s="128">
        <v>60</v>
      </c>
      <c r="L72" s="128">
        <v>52</v>
      </c>
      <c r="M72" s="128">
        <v>8.25</v>
      </c>
      <c r="N72" s="128" t="s">
        <v>659</v>
      </c>
      <c r="O72" s="128" t="s">
        <v>659</v>
      </c>
      <c r="P72" s="128" t="s">
        <v>659</v>
      </c>
      <c r="Q72" s="128" t="s">
        <v>659</v>
      </c>
      <c r="R72" s="128" t="s">
        <v>661</v>
      </c>
      <c r="S72" s="128" t="s">
        <v>659</v>
      </c>
      <c r="T72" s="128" t="s">
        <v>659</v>
      </c>
      <c r="U72" s="128" t="s">
        <v>659</v>
      </c>
      <c r="V72" s="128" t="str">
        <f t="shared" ref="V72:Y72" si="78">V16</f>
        <v>A-00545</v>
      </c>
      <c r="W72" s="128" t="str">
        <f t="shared" si="78"/>
        <v>A-00545</v>
      </c>
      <c r="X72" s="128" t="str">
        <f t="shared" si="78"/>
        <v>A-00545</v>
      </c>
      <c r="Y72" s="128" t="str">
        <f t="shared" si="78"/>
        <v>A-00545</v>
      </c>
      <c r="Z72" s="128" t="s">
        <v>659</v>
      </c>
      <c r="AA72" s="129" t="s">
        <v>659</v>
      </c>
    </row>
    <row r="73" spans="8:27" x14ac:dyDescent="0.25">
      <c r="H73" s="113" t="s">
        <v>639</v>
      </c>
      <c r="I73" s="128">
        <v>36</v>
      </c>
      <c r="J73" s="128">
        <v>70</v>
      </c>
      <c r="K73" s="128">
        <v>60</v>
      </c>
      <c r="L73" s="128">
        <v>52</v>
      </c>
      <c r="M73" s="128">
        <v>8.25</v>
      </c>
      <c r="N73" s="128">
        <v>18.125</v>
      </c>
      <c r="O73" s="128">
        <v>7.5</v>
      </c>
      <c r="P73" s="128">
        <v>13</v>
      </c>
      <c r="Q73" s="128" t="s">
        <v>659</v>
      </c>
      <c r="R73" s="128" t="s">
        <v>659</v>
      </c>
      <c r="S73" s="128" t="s">
        <v>659</v>
      </c>
      <c r="T73" s="128" t="s">
        <v>659</v>
      </c>
      <c r="U73" s="128" t="s">
        <v>659</v>
      </c>
      <c r="V73" s="128" t="str">
        <f t="shared" ref="V73:Y73" si="79">V17</f>
        <v>A-00545</v>
      </c>
      <c r="W73" s="128" t="str">
        <f t="shared" si="79"/>
        <v>A-00545</v>
      </c>
      <c r="X73" s="128" t="str">
        <f t="shared" si="79"/>
        <v>A-00545</v>
      </c>
      <c r="Y73" s="128" t="str">
        <f t="shared" si="79"/>
        <v>A-00545</v>
      </c>
      <c r="Z73" s="128" t="s">
        <v>659</v>
      </c>
      <c r="AA73" s="129" t="s">
        <v>659</v>
      </c>
    </row>
    <row r="74" spans="8:27" x14ac:dyDescent="0.25">
      <c r="H74" s="113" t="s">
        <v>588</v>
      </c>
      <c r="I74" s="119">
        <f>I10</f>
        <v>36</v>
      </c>
      <c r="J74" s="119">
        <f t="shared" ref="J74:U74" si="80">J10</f>
        <v>74</v>
      </c>
      <c r="K74" s="119">
        <f t="shared" si="80"/>
        <v>62</v>
      </c>
      <c r="L74" s="119">
        <f t="shared" si="80"/>
        <v>52</v>
      </c>
      <c r="M74" s="119">
        <f t="shared" si="80"/>
        <v>7.25</v>
      </c>
      <c r="N74" s="119" t="str">
        <f t="shared" si="80"/>
        <v>-</v>
      </c>
      <c r="O74" s="119" t="str">
        <f t="shared" si="80"/>
        <v>-</v>
      </c>
      <c r="P74" s="119" t="str">
        <f t="shared" si="80"/>
        <v>-</v>
      </c>
      <c r="Q74" s="119" t="str">
        <f t="shared" si="80"/>
        <v>-</v>
      </c>
      <c r="R74" s="128" t="str">
        <f t="shared" si="80"/>
        <v>?</v>
      </c>
      <c r="S74" s="119" t="str">
        <f t="shared" si="80"/>
        <v>-</v>
      </c>
      <c r="T74" s="119" t="str">
        <f t="shared" ref="T74" si="81">T10</f>
        <v>-</v>
      </c>
      <c r="U74" s="119" t="str">
        <f t="shared" si="80"/>
        <v>-</v>
      </c>
      <c r="V74" s="127" t="str">
        <f>V10</f>
        <v>A-00545</v>
      </c>
      <c r="W74" s="127" t="str">
        <f t="shared" ref="W74:Y74" si="82">W10</f>
        <v>A-00545</v>
      </c>
      <c r="X74" s="127" t="str">
        <f t="shared" si="82"/>
        <v>A-00545</v>
      </c>
      <c r="Y74" s="127" t="str">
        <f t="shared" si="82"/>
        <v>A-00545</v>
      </c>
      <c r="Z74" s="119" t="str">
        <f t="shared" ref="Z74:AA74" si="83">Z10</f>
        <v>-</v>
      </c>
      <c r="AA74" s="121" t="str">
        <f t="shared" si="83"/>
        <v>-</v>
      </c>
    </row>
    <row r="75" spans="8:27" x14ac:dyDescent="0.25">
      <c r="H75" s="113" t="s">
        <v>640</v>
      </c>
      <c r="I75" s="119">
        <f t="shared" ref="I75:AA75" si="84">I11</f>
        <v>36</v>
      </c>
      <c r="J75" s="119">
        <f t="shared" si="84"/>
        <v>74</v>
      </c>
      <c r="K75" s="119">
        <f t="shared" si="84"/>
        <v>62</v>
      </c>
      <c r="L75" s="119">
        <f t="shared" si="84"/>
        <v>52</v>
      </c>
      <c r="M75" s="119">
        <f t="shared" si="84"/>
        <v>7.25</v>
      </c>
      <c r="N75" s="119">
        <f t="shared" si="84"/>
        <v>13.625</v>
      </c>
      <c r="O75" s="119">
        <f t="shared" si="84"/>
        <v>11</v>
      </c>
      <c r="P75" s="119" t="str">
        <f t="shared" si="84"/>
        <v>21.25</v>
      </c>
      <c r="Q75" s="119" t="str">
        <f t="shared" si="84"/>
        <v>-</v>
      </c>
      <c r="R75" s="119" t="str">
        <f t="shared" si="84"/>
        <v>-</v>
      </c>
      <c r="S75" s="119" t="str">
        <f t="shared" si="84"/>
        <v>-</v>
      </c>
      <c r="T75" s="119" t="str">
        <f t="shared" ref="T75" si="85">T11</f>
        <v>-</v>
      </c>
      <c r="U75" s="119" t="str">
        <f t="shared" si="84"/>
        <v>-</v>
      </c>
      <c r="V75" s="127" t="str">
        <f t="shared" si="84"/>
        <v>A-00545</v>
      </c>
      <c r="W75" s="127" t="str">
        <f t="shared" si="84"/>
        <v>A-00545</v>
      </c>
      <c r="X75" s="127" t="str">
        <f t="shared" si="84"/>
        <v>A-00545</v>
      </c>
      <c r="Y75" s="127" t="str">
        <f t="shared" si="84"/>
        <v>A-00545</v>
      </c>
      <c r="Z75" s="119" t="str">
        <f t="shared" si="84"/>
        <v>-</v>
      </c>
      <c r="AA75" s="121" t="str">
        <f t="shared" si="84"/>
        <v>-</v>
      </c>
    </row>
    <row r="76" spans="8:27" x14ac:dyDescent="0.25">
      <c r="H76" s="113" t="s">
        <v>589</v>
      </c>
      <c r="I76" s="119">
        <f t="shared" ref="I76:AA76" si="86">I12</f>
        <v>37</v>
      </c>
      <c r="J76" s="119">
        <f t="shared" si="86"/>
        <v>76</v>
      </c>
      <c r="K76" s="119">
        <f t="shared" si="86"/>
        <v>64</v>
      </c>
      <c r="L76" s="119">
        <f t="shared" si="86"/>
        <v>54</v>
      </c>
      <c r="M76" s="119">
        <f t="shared" si="86"/>
        <v>8.25</v>
      </c>
      <c r="N76" s="119" t="str">
        <f t="shared" si="86"/>
        <v>-</v>
      </c>
      <c r="O76" s="119" t="str">
        <f t="shared" si="86"/>
        <v>-</v>
      </c>
      <c r="P76" s="119" t="str">
        <f t="shared" si="86"/>
        <v>-</v>
      </c>
      <c r="Q76" s="119" t="str">
        <f t="shared" si="86"/>
        <v>-</v>
      </c>
      <c r="R76" s="119" t="str">
        <f t="shared" si="86"/>
        <v>-</v>
      </c>
      <c r="S76" s="119" t="str">
        <f t="shared" si="86"/>
        <v>-</v>
      </c>
      <c r="T76" s="119" t="str">
        <f t="shared" ref="T76" si="87">T12</f>
        <v>-</v>
      </c>
      <c r="U76" s="119" t="str">
        <f t="shared" si="86"/>
        <v>-</v>
      </c>
      <c r="V76" s="127" t="str">
        <f t="shared" si="86"/>
        <v>A-00458</v>
      </c>
      <c r="W76" s="127" t="str">
        <f t="shared" si="86"/>
        <v>A-00458</v>
      </c>
      <c r="X76" s="127" t="str">
        <f t="shared" si="86"/>
        <v>A-00458</v>
      </c>
      <c r="Y76" s="127" t="str">
        <f t="shared" si="86"/>
        <v>A-00458</v>
      </c>
      <c r="Z76" s="119" t="str">
        <f t="shared" si="86"/>
        <v>-</v>
      </c>
      <c r="AA76" s="121" t="str">
        <f t="shared" si="86"/>
        <v>-</v>
      </c>
    </row>
    <row r="77" spans="8:27" x14ac:dyDescent="0.25">
      <c r="H77" s="113" t="s">
        <v>641</v>
      </c>
      <c r="I77" s="119">
        <f t="shared" ref="I77:AA77" si="88">I13</f>
        <v>37</v>
      </c>
      <c r="J77" s="119">
        <f t="shared" si="88"/>
        <v>76</v>
      </c>
      <c r="K77" s="119">
        <f t="shared" si="88"/>
        <v>64</v>
      </c>
      <c r="L77" s="119">
        <f t="shared" si="88"/>
        <v>54</v>
      </c>
      <c r="M77" s="119">
        <f t="shared" si="88"/>
        <v>8.25</v>
      </c>
      <c r="N77" s="119" t="str">
        <f t="shared" si="88"/>
        <v>-</v>
      </c>
      <c r="O77" s="119" t="str">
        <f t="shared" si="88"/>
        <v>-</v>
      </c>
      <c r="P77" s="119" t="str">
        <f t="shared" si="88"/>
        <v>-</v>
      </c>
      <c r="Q77" s="119" t="str">
        <f t="shared" si="88"/>
        <v>-</v>
      </c>
      <c r="R77" s="119" t="str">
        <f t="shared" si="88"/>
        <v>-</v>
      </c>
      <c r="S77" s="119" t="str">
        <f t="shared" si="88"/>
        <v>-</v>
      </c>
      <c r="T77" s="119" t="str">
        <f t="shared" ref="T77" si="89">T13</f>
        <v>-</v>
      </c>
      <c r="U77" s="119" t="str">
        <f t="shared" si="88"/>
        <v>-</v>
      </c>
      <c r="V77" s="127" t="str">
        <f t="shared" si="88"/>
        <v>A-00458</v>
      </c>
      <c r="W77" s="127" t="str">
        <f t="shared" si="88"/>
        <v>A-00458</v>
      </c>
      <c r="X77" s="127" t="str">
        <f t="shared" si="88"/>
        <v>A-00458</v>
      </c>
      <c r="Y77" s="127" t="str">
        <f t="shared" si="88"/>
        <v>A-00458</v>
      </c>
      <c r="Z77" s="119" t="str">
        <f t="shared" si="88"/>
        <v>-</v>
      </c>
      <c r="AA77" s="121" t="str">
        <f t="shared" si="88"/>
        <v>-</v>
      </c>
    </row>
    <row r="78" spans="8:27" x14ac:dyDescent="0.25">
      <c r="H78" s="113" t="s">
        <v>590</v>
      </c>
      <c r="I78" s="119">
        <f t="shared" ref="I78:AA78" si="90">I14</f>
        <v>36</v>
      </c>
      <c r="J78" s="119">
        <f t="shared" si="90"/>
        <v>74</v>
      </c>
      <c r="K78" s="119">
        <f t="shared" si="90"/>
        <v>62</v>
      </c>
      <c r="L78" s="119">
        <f t="shared" si="90"/>
        <v>52</v>
      </c>
      <c r="M78" s="119">
        <f t="shared" si="90"/>
        <v>7.25</v>
      </c>
      <c r="N78" s="119" t="str">
        <f t="shared" si="90"/>
        <v>-</v>
      </c>
      <c r="O78" s="119" t="str">
        <f t="shared" si="90"/>
        <v>-</v>
      </c>
      <c r="P78" s="119" t="str">
        <f t="shared" si="90"/>
        <v>-</v>
      </c>
      <c r="Q78" s="119" t="str">
        <f t="shared" si="90"/>
        <v>-</v>
      </c>
      <c r="R78" s="119" t="str">
        <f t="shared" si="90"/>
        <v>-</v>
      </c>
      <c r="S78" s="119" t="str">
        <f t="shared" si="90"/>
        <v>-</v>
      </c>
      <c r="T78" s="119" t="str">
        <f t="shared" ref="T78" si="91">T14</f>
        <v>-</v>
      </c>
      <c r="U78" s="119" t="str">
        <f t="shared" si="90"/>
        <v>-</v>
      </c>
      <c r="V78" s="127" t="str">
        <f t="shared" si="90"/>
        <v>A-00458</v>
      </c>
      <c r="W78" s="127" t="str">
        <f t="shared" si="90"/>
        <v>A-00458</v>
      </c>
      <c r="X78" s="127" t="str">
        <f t="shared" si="90"/>
        <v>A-00458</v>
      </c>
      <c r="Y78" s="127" t="str">
        <f t="shared" si="90"/>
        <v>A-00458</v>
      </c>
      <c r="Z78" s="119" t="str">
        <f t="shared" si="90"/>
        <v>-</v>
      </c>
      <c r="AA78" s="121" t="str">
        <f t="shared" si="90"/>
        <v>-</v>
      </c>
    </row>
    <row r="79" spans="8:27" x14ac:dyDescent="0.25">
      <c r="H79" s="113" t="s">
        <v>642</v>
      </c>
      <c r="I79" s="119">
        <f t="shared" ref="I79:AA79" si="92">I15</f>
        <v>36</v>
      </c>
      <c r="J79" s="119">
        <f t="shared" si="92"/>
        <v>74</v>
      </c>
      <c r="K79" s="119">
        <f t="shared" si="92"/>
        <v>62</v>
      </c>
      <c r="L79" s="119">
        <f t="shared" si="92"/>
        <v>52</v>
      </c>
      <c r="M79" s="119">
        <f t="shared" si="92"/>
        <v>7.25</v>
      </c>
      <c r="N79" s="119" t="str">
        <f t="shared" si="92"/>
        <v>-</v>
      </c>
      <c r="O79" s="119" t="str">
        <f t="shared" si="92"/>
        <v>-</v>
      </c>
      <c r="P79" s="119" t="str">
        <f t="shared" si="92"/>
        <v>-</v>
      </c>
      <c r="Q79" s="119" t="str">
        <f t="shared" si="92"/>
        <v>-</v>
      </c>
      <c r="R79" s="119" t="str">
        <f t="shared" si="92"/>
        <v>-</v>
      </c>
      <c r="S79" s="119" t="str">
        <f t="shared" si="92"/>
        <v>-</v>
      </c>
      <c r="T79" s="119" t="str">
        <f t="shared" ref="T79" si="93">T15</f>
        <v>-</v>
      </c>
      <c r="U79" s="119" t="str">
        <f t="shared" si="92"/>
        <v>-</v>
      </c>
      <c r="V79" s="127" t="str">
        <f t="shared" si="92"/>
        <v>A-00458</v>
      </c>
      <c r="W79" s="127" t="str">
        <f t="shared" si="92"/>
        <v>A-00458</v>
      </c>
      <c r="X79" s="127" t="str">
        <f t="shared" si="92"/>
        <v>A-00458</v>
      </c>
      <c r="Y79" s="127" t="str">
        <f t="shared" si="92"/>
        <v>A-00458</v>
      </c>
      <c r="Z79" s="119" t="str">
        <f t="shared" si="92"/>
        <v>-</v>
      </c>
      <c r="AA79" s="121" t="str">
        <f t="shared" si="92"/>
        <v>-</v>
      </c>
    </row>
    <row r="80" spans="8:27" x14ac:dyDescent="0.25">
      <c r="H80" s="113" t="s">
        <v>591</v>
      </c>
      <c r="I80" s="128">
        <f t="shared" ref="I80:AA80" si="94">I16</f>
        <v>36</v>
      </c>
      <c r="J80" s="128">
        <f t="shared" si="94"/>
        <v>74</v>
      </c>
      <c r="K80" s="128">
        <f t="shared" si="94"/>
        <v>62</v>
      </c>
      <c r="L80" s="128">
        <f t="shared" si="94"/>
        <v>52</v>
      </c>
      <c r="M80" s="128">
        <f t="shared" si="94"/>
        <v>7.25</v>
      </c>
      <c r="N80" s="128" t="str">
        <f t="shared" si="94"/>
        <v>-</v>
      </c>
      <c r="O80" s="128" t="str">
        <f t="shared" si="94"/>
        <v>-</v>
      </c>
      <c r="P80" s="128" t="str">
        <f t="shared" si="94"/>
        <v>-</v>
      </c>
      <c r="Q80" s="128" t="str">
        <f t="shared" si="94"/>
        <v>-</v>
      </c>
      <c r="R80" s="128" t="str">
        <f t="shared" si="94"/>
        <v>?</v>
      </c>
      <c r="S80" s="128" t="str">
        <f t="shared" si="94"/>
        <v>-</v>
      </c>
      <c r="T80" s="128" t="str">
        <f t="shared" ref="T80" si="95">T16</f>
        <v>-</v>
      </c>
      <c r="U80" s="128" t="str">
        <f t="shared" si="94"/>
        <v>-</v>
      </c>
      <c r="V80" s="128" t="str">
        <f t="shared" si="94"/>
        <v>A-00545</v>
      </c>
      <c r="W80" s="128" t="str">
        <f t="shared" si="94"/>
        <v>A-00545</v>
      </c>
      <c r="X80" s="128" t="str">
        <f t="shared" si="94"/>
        <v>A-00545</v>
      </c>
      <c r="Y80" s="128" t="str">
        <f t="shared" si="94"/>
        <v>A-00545</v>
      </c>
      <c r="Z80" s="128" t="str">
        <f t="shared" si="94"/>
        <v>-</v>
      </c>
      <c r="AA80" s="129" t="str">
        <f t="shared" si="94"/>
        <v>-</v>
      </c>
    </row>
    <row r="81" spans="8:27" x14ac:dyDescent="0.25">
      <c r="H81" s="113" t="s">
        <v>643</v>
      </c>
      <c r="I81" s="128">
        <f t="shared" ref="I81:AA81" si="96">I17</f>
        <v>36</v>
      </c>
      <c r="J81" s="128">
        <f t="shared" si="96"/>
        <v>74</v>
      </c>
      <c r="K81" s="128">
        <f t="shared" si="96"/>
        <v>62</v>
      </c>
      <c r="L81" s="128">
        <f t="shared" si="96"/>
        <v>52</v>
      </c>
      <c r="M81" s="128">
        <f t="shared" si="96"/>
        <v>7.25</v>
      </c>
      <c r="N81" s="128">
        <f t="shared" si="96"/>
        <v>13.625</v>
      </c>
      <c r="O81" s="128">
        <f t="shared" si="96"/>
        <v>11</v>
      </c>
      <c r="P81" s="128" t="str">
        <f t="shared" si="96"/>
        <v>21.25</v>
      </c>
      <c r="Q81" s="128" t="str">
        <f t="shared" si="96"/>
        <v>-</v>
      </c>
      <c r="R81" s="128" t="str">
        <f t="shared" si="96"/>
        <v>-</v>
      </c>
      <c r="S81" s="128" t="str">
        <f t="shared" si="96"/>
        <v>-</v>
      </c>
      <c r="T81" s="128" t="str">
        <f t="shared" ref="T81" si="97">T17</f>
        <v>-</v>
      </c>
      <c r="U81" s="128" t="str">
        <f t="shared" si="96"/>
        <v>-</v>
      </c>
      <c r="V81" s="128" t="str">
        <f t="shared" si="96"/>
        <v>A-00545</v>
      </c>
      <c r="W81" s="128" t="str">
        <f t="shared" si="96"/>
        <v>A-00545</v>
      </c>
      <c r="X81" s="128" t="str">
        <f t="shared" si="96"/>
        <v>A-00545</v>
      </c>
      <c r="Y81" s="128" t="str">
        <f t="shared" si="96"/>
        <v>A-00545</v>
      </c>
      <c r="Z81" s="128" t="str">
        <f t="shared" si="96"/>
        <v>-</v>
      </c>
      <c r="AA81" s="129" t="str">
        <f t="shared" si="96"/>
        <v>-</v>
      </c>
    </row>
    <row r="82" spans="8:27" x14ac:dyDescent="0.25">
      <c r="H82" s="113" t="s">
        <v>592</v>
      </c>
      <c r="I82" s="127">
        <f>33.75-IF(OR(RHPanel="RH Outswing",RHPanel="LH Inswing"),LHOverlap,RHOverlap)</f>
        <v>32</v>
      </c>
      <c r="J82" s="119">
        <f>J26</f>
        <v>70</v>
      </c>
      <c r="K82" s="119">
        <f t="shared" ref="K82:U82" si="98">K26</f>
        <v>58</v>
      </c>
      <c r="L82" s="119">
        <f t="shared" si="98"/>
        <v>48</v>
      </c>
      <c r="M82" s="119">
        <f t="shared" si="98"/>
        <v>5</v>
      </c>
      <c r="N82" s="119" t="str">
        <f t="shared" si="98"/>
        <v>-</v>
      </c>
      <c r="O82" s="119" t="str">
        <f t="shared" si="98"/>
        <v>-</v>
      </c>
      <c r="P82" s="119" t="str">
        <f t="shared" si="98"/>
        <v>-</v>
      </c>
      <c r="Q82" s="127">
        <f t="shared" si="98"/>
        <v>6.5</v>
      </c>
      <c r="R82" s="127">
        <f t="shared" si="98"/>
        <v>10.25</v>
      </c>
      <c r="S82" s="119" t="str">
        <f t="shared" si="98"/>
        <v>-</v>
      </c>
      <c r="T82" s="119">
        <f t="shared" si="98"/>
        <v>23.25</v>
      </c>
      <c r="U82" s="119">
        <f t="shared" si="98"/>
        <v>23.25</v>
      </c>
      <c r="V82" s="119" t="str">
        <f>V26</f>
        <v>A-00545</v>
      </c>
      <c r="W82" s="119" t="str">
        <f t="shared" ref="W82:AA82" si="99">W26</f>
        <v>A-00545</v>
      </c>
      <c r="X82" s="119" t="str">
        <f>X26</f>
        <v>A-00722</v>
      </c>
      <c r="Y82" s="119" t="str">
        <f t="shared" ref="Y82" si="100">Y26</f>
        <v>A-00726</v>
      </c>
      <c r="Z82" s="119" t="str">
        <f t="shared" si="99"/>
        <v>A-00639</v>
      </c>
      <c r="AA82" s="121" t="str">
        <f t="shared" si="99"/>
        <v>A-00639</v>
      </c>
    </row>
    <row r="83" spans="8:27" x14ac:dyDescent="0.25">
      <c r="H83" s="113" t="s">
        <v>644</v>
      </c>
      <c r="I83" s="127">
        <f>35.75-IF(OR(RHPanel="RH Outswing",RHPanel="LH Inswing"),LHOverlap,RHOverlap)</f>
        <v>34</v>
      </c>
      <c r="J83" s="119">
        <f t="shared" ref="J83:U83" si="101">J27</f>
        <v>74</v>
      </c>
      <c r="K83" s="119">
        <f t="shared" si="101"/>
        <v>62</v>
      </c>
      <c r="L83" s="119">
        <f t="shared" si="101"/>
        <v>52</v>
      </c>
      <c r="M83" s="119">
        <f t="shared" si="101"/>
        <v>7.25</v>
      </c>
      <c r="N83" s="119">
        <f t="shared" si="101"/>
        <v>13.625</v>
      </c>
      <c r="O83" s="119">
        <f t="shared" si="101"/>
        <v>11</v>
      </c>
      <c r="P83" s="119">
        <f t="shared" si="101"/>
        <v>21.25</v>
      </c>
      <c r="Q83" s="127" t="str">
        <f t="shared" si="101"/>
        <v>-</v>
      </c>
      <c r="R83" s="127" t="str">
        <f t="shared" si="101"/>
        <v>-</v>
      </c>
      <c r="S83" s="119">
        <f t="shared" si="101"/>
        <v>18.75</v>
      </c>
      <c r="T83" s="119" t="str">
        <f t="shared" si="101"/>
        <v>-</v>
      </c>
      <c r="U83" s="119" t="str">
        <f t="shared" si="101"/>
        <v>-</v>
      </c>
      <c r="V83" s="119" t="str">
        <f t="shared" ref="V83:AA83" si="102">V27</f>
        <v>A-00425</v>
      </c>
      <c r="W83" s="119" t="str">
        <f t="shared" si="102"/>
        <v>A-00425</v>
      </c>
      <c r="X83" s="119" t="str">
        <f t="shared" ref="X83:Y83" si="103">X27</f>
        <v>A-00427</v>
      </c>
      <c r="Y83" s="119" t="str">
        <f t="shared" si="103"/>
        <v>A-00427</v>
      </c>
      <c r="Z83" s="119" t="str">
        <f t="shared" si="102"/>
        <v>-</v>
      </c>
      <c r="AA83" s="121" t="str">
        <f t="shared" si="102"/>
        <v>-</v>
      </c>
    </row>
    <row r="84" spans="8:27" x14ac:dyDescent="0.25">
      <c r="H84" s="113" t="s">
        <v>593</v>
      </c>
      <c r="I84" s="127">
        <f>34.75-IF(OR(RHPanel="RH Outswing",RHPanel="LH Inswing"),LHOverlap,RHOverlap)</f>
        <v>33</v>
      </c>
      <c r="J84" s="119">
        <f t="shared" ref="J84:U84" si="104">J28</f>
        <v>72</v>
      </c>
      <c r="K84" s="119">
        <f t="shared" si="104"/>
        <v>60</v>
      </c>
      <c r="L84" s="119">
        <f t="shared" si="104"/>
        <v>50</v>
      </c>
      <c r="M84" s="119">
        <f t="shared" si="104"/>
        <v>6</v>
      </c>
      <c r="N84" s="119" t="str">
        <f t="shared" si="104"/>
        <v>-</v>
      </c>
      <c r="O84" s="119" t="str">
        <f t="shared" si="104"/>
        <v>-</v>
      </c>
      <c r="P84" s="119" t="str">
        <f t="shared" si="104"/>
        <v>-</v>
      </c>
      <c r="Q84" s="127">
        <f t="shared" si="104"/>
        <v>4.5</v>
      </c>
      <c r="R84" s="127">
        <f t="shared" si="104"/>
        <v>9</v>
      </c>
      <c r="S84" s="119" t="str">
        <f t="shared" si="104"/>
        <v>-</v>
      </c>
      <c r="T84" s="119">
        <f t="shared" si="104"/>
        <v>25.5</v>
      </c>
      <c r="U84" s="119">
        <f t="shared" si="104"/>
        <v>25.5</v>
      </c>
      <c r="V84" s="119" t="str">
        <f t="shared" ref="V84:AA84" si="105">V28</f>
        <v>A-00545</v>
      </c>
      <c r="W84" s="119" t="str">
        <f t="shared" si="105"/>
        <v>A-00545</v>
      </c>
      <c r="X84" s="119" t="str">
        <f t="shared" ref="X84:Y84" si="106">X28</f>
        <v>A-00722</v>
      </c>
      <c r="Y84" s="119" t="str">
        <f t="shared" si="106"/>
        <v>A-00726</v>
      </c>
      <c r="Z84" s="119" t="str">
        <f t="shared" si="105"/>
        <v>A-00639</v>
      </c>
      <c r="AA84" s="121" t="str">
        <f t="shared" si="105"/>
        <v>A-00639</v>
      </c>
    </row>
    <row r="85" spans="8:27" x14ac:dyDescent="0.25">
      <c r="H85" s="113" t="s">
        <v>645</v>
      </c>
      <c r="I85" s="127">
        <f>36.75-IF(OR(RHPanel="RH Outswing",RHPanel="LH Inswing"),LHOverlap,RHOverlap)</f>
        <v>35</v>
      </c>
      <c r="J85" s="119">
        <f t="shared" ref="J85:U85" si="107">J29</f>
        <v>76</v>
      </c>
      <c r="K85" s="119">
        <f t="shared" si="107"/>
        <v>64</v>
      </c>
      <c r="L85" s="119">
        <f t="shared" si="107"/>
        <v>54</v>
      </c>
      <c r="M85" s="119">
        <f t="shared" si="107"/>
        <v>8.25</v>
      </c>
      <c r="N85" s="119">
        <f t="shared" si="107"/>
        <v>17.25</v>
      </c>
      <c r="O85" s="119">
        <f t="shared" si="107"/>
        <v>11</v>
      </c>
      <c r="P85" s="119">
        <f t="shared" si="107"/>
        <v>16</v>
      </c>
      <c r="Q85" s="127" t="str">
        <f t="shared" si="107"/>
        <v>-</v>
      </c>
      <c r="R85" s="127" t="str">
        <f t="shared" si="107"/>
        <v>-</v>
      </c>
      <c r="S85" s="119">
        <f t="shared" si="107"/>
        <v>19</v>
      </c>
      <c r="T85" s="119" t="str">
        <f t="shared" si="107"/>
        <v>-</v>
      </c>
      <c r="U85" s="119" t="str">
        <f t="shared" si="107"/>
        <v>-</v>
      </c>
      <c r="V85" s="119" t="str">
        <f t="shared" ref="V85:AA85" si="108">V29</f>
        <v>A-00425</v>
      </c>
      <c r="W85" s="119" t="str">
        <f t="shared" si="108"/>
        <v>A-00425</v>
      </c>
      <c r="X85" s="119" t="str">
        <f t="shared" ref="X85:Y85" si="109">X29</f>
        <v>A-00427</v>
      </c>
      <c r="Y85" s="119" t="str">
        <f t="shared" si="109"/>
        <v>A-00427</v>
      </c>
      <c r="Z85" s="119" t="str">
        <f t="shared" si="108"/>
        <v>-</v>
      </c>
      <c r="AA85" s="121" t="str">
        <f t="shared" si="108"/>
        <v>-</v>
      </c>
    </row>
    <row r="86" spans="8:27" x14ac:dyDescent="0.25">
      <c r="H86" s="113" t="s">
        <v>594</v>
      </c>
      <c r="I86" s="127">
        <f>33.75-IF(OR(RHPanel="RH Outswing",RHPanel="LH Inswing"),LHOverlap,RHOverlap)</f>
        <v>32</v>
      </c>
      <c r="J86" s="119">
        <f t="shared" ref="J86:U86" si="110">J30</f>
        <v>70</v>
      </c>
      <c r="K86" s="119">
        <f t="shared" si="110"/>
        <v>58</v>
      </c>
      <c r="L86" s="119">
        <f t="shared" si="110"/>
        <v>48</v>
      </c>
      <c r="M86" s="119">
        <f t="shared" si="110"/>
        <v>5</v>
      </c>
      <c r="N86" s="119" t="str">
        <f t="shared" si="110"/>
        <v>-</v>
      </c>
      <c r="O86" s="119" t="str">
        <f t="shared" si="110"/>
        <v>-</v>
      </c>
      <c r="P86" s="119" t="str">
        <f t="shared" si="110"/>
        <v>-</v>
      </c>
      <c r="Q86" s="127">
        <f t="shared" si="110"/>
        <v>4.5</v>
      </c>
      <c r="R86" s="127">
        <f t="shared" si="110"/>
        <v>9</v>
      </c>
      <c r="S86" s="119" t="str">
        <f t="shared" si="110"/>
        <v>-</v>
      </c>
      <c r="T86" s="119">
        <f t="shared" si="110"/>
        <v>24.5</v>
      </c>
      <c r="U86" s="119">
        <f t="shared" si="110"/>
        <v>24.5</v>
      </c>
      <c r="V86" s="119" t="str">
        <f t="shared" ref="V86:AA86" si="111">V30</f>
        <v>A-00545</v>
      </c>
      <c r="W86" s="119" t="str">
        <f t="shared" si="111"/>
        <v>A-00545</v>
      </c>
      <c r="X86" s="119" t="str">
        <f t="shared" ref="X86:Y86" si="112">X30</f>
        <v>A-00722</v>
      </c>
      <c r="Y86" s="119" t="str">
        <f t="shared" si="112"/>
        <v>A-00726</v>
      </c>
      <c r="Z86" s="119" t="str">
        <f t="shared" si="111"/>
        <v>A-00639</v>
      </c>
      <c r="AA86" s="121" t="str">
        <f t="shared" si="111"/>
        <v>A-00639</v>
      </c>
    </row>
    <row r="87" spans="8:27" x14ac:dyDescent="0.25">
      <c r="H87" s="113" t="s">
        <v>646</v>
      </c>
      <c r="I87" s="127">
        <f>35.75-IF(OR(RHPanel="RH Outswing",RHPanel="LH Inswing"),LHOverlap,RHOverlap)</f>
        <v>34</v>
      </c>
      <c r="J87" s="119">
        <f t="shared" ref="J87:U87" si="113">J31</f>
        <v>74</v>
      </c>
      <c r="K87" s="119">
        <f t="shared" si="113"/>
        <v>62</v>
      </c>
      <c r="L87" s="119">
        <f t="shared" si="113"/>
        <v>52</v>
      </c>
      <c r="M87" s="119">
        <f t="shared" si="113"/>
        <v>7.25</v>
      </c>
      <c r="N87" s="119">
        <f t="shared" si="113"/>
        <v>16.25</v>
      </c>
      <c r="O87" s="119">
        <f t="shared" si="113"/>
        <v>11</v>
      </c>
      <c r="P87" s="119">
        <f t="shared" si="113"/>
        <v>16</v>
      </c>
      <c r="Q87" s="119" t="str">
        <f t="shared" si="113"/>
        <v>-</v>
      </c>
      <c r="R87" s="119" t="str">
        <f t="shared" si="113"/>
        <v>-</v>
      </c>
      <c r="S87" s="119">
        <f t="shared" si="113"/>
        <v>18.75</v>
      </c>
      <c r="T87" s="119" t="str">
        <f t="shared" si="113"/>
        <v>-</v>
      </c>
      <c r="U87" s="119" t="str">
        <f t="shared" si="113"/>
        <v>-</v>
      </c>
      <c r="V87" s="119" t="str">
        <f t="shared" ref="V87:AA87" si="114">V31</f>
        <v>A-00425</v>
      </c>
      <c r="W87" s="119" t="str">
        <f t="shared" si="114"/>
        <v>A-00425</v>
      </c>
      <c r="X87" s="119" t="str">
        <f t="shared" ref="X87:Y87" si="115">X31</f>
        <v>A-00427</v>
      </c>
      <c r="Y87" s="119" t="str">
        <f t="shared" si="115"/>
        <v>A-00427</v>
      </c>
      <c r="Z87" s="119" t="str">
        <f t="shared" si="114"/>
        <v>-</v>
      </c>
      <c r="AA87" s="121" t="str">
        <f t="shared" si="114"/>
        <v>-</v>
      </c>
    </row>
    <row r="88" spans="8:27" x14ac:dyDescent="0.25">
      <c r="H88" s="113" t="s">
        <v>595</v>
      </c>
      <c r="I88" s="128">
        <f>33.75-IF(OR(RHPanel="RH Outswing",RHPanel="LH Inswing"),LHOverlap,RHOverlap)</f>
        <v>32</v>
      </c>
      <c r="J88" s="128">
        <f t="shared" ref="J88:U88" si="116">J32</f>
        <v>70</v>
      </c>
      <c r="K88" s="128">
        <f t="shared" si="116"/>
        <v>58</v>
      </c>
      <c r="L88" s="128">
        <f t="shared" si="116"/>
        <v>48</v>
      </c>
      <c r="M88" s="128">
        <f t="shared" si="116"/>
        <v>5</v>
      </c>
      <c r="N88" s="128" t="str">
        <f t="shared" si="116"/>
        <v>-</v>
      </c>
      <c r="O88" s="128" t="str">
        <f t="shared" si="116"/>
        <v>-</v>
      </c>
      <c r="P88" s="128" t="str">
        <f t="shared" si="116"/>
        <v>-</v>
      </c>
      <c r="Q88" s="128">
        <f t="shared" si="116"/>
        <v>6.5</v>
      </c>
      <c r="R88" s="128">
        <f t="shared" si="116"/>
        <v>10.25</v>
      </c>
      <c r="S88" s="128" t="str">
        <f t="shared" si="116"/>
        <v>-</v>
      </c>
      <c r="T88" s="128">
        <f t="shared" si="116"/>
        <v>23.25</v>
      </c>
      <c r="U88" s="128">
        <f t="shared" si="116"/>
        <v>23.25</v>
      </c>
      <c r="V88" s="128" t="str">
        <f t="shared" ref="V88:AA88" si="117">V32</f>
        <v>A-00545</v>
      </c>
      <c r="W88" s="128" t="str">
        <f t="shared" si="117"/>
        <v>A-00545</v>
      </c>
      <c r="X88" s="128" t="str">
        <f t="shared" ref="X88:Y88" si="118">X32</f>
        <v>A-00722</v>
      </c>
      <c r="Y88" s="128" t="str">
        <f t="shared" si="118"/>
        <v>A-00726</v>
      </c>
      <c r="Z88" s="128" t="str">
        <f t="shared" si="117"/>
        <v>A-00639</v>
      </c>
      <c r="AA88" s="129" t="str">
        <f t="shared" si="117"/>
        <v>A-00639</v>
      </c>
    </row>
    <row r="89" spans="8:27" x14ac:dyDescent="0.25">
      <c r="H89" s="113" t="s">
        <v>647</v>
      </c>
      <c r="I89" s="128">
        <f>35.75-IF(OR(RHPanel="RH Outswing",RHPanel="LH Inswing"),LHOverlap,RHOverlap)</f>
        <v>34</v>
      </c>
      <c r="J89" s="128">
        <f t="shared" ref="J89:U89" si="119">J33</f>
        <v>74</v>
      </c>
      <c r="K89" s="128">
        <f t="shared" si="119"/>
        <v>62</v>
      </c>
      <c r="L89" s="128">
        <f t="shared" si="119"/>
        <v>52</v>
      </c>
      <c r="M89" s="128">
        <f t="shared" si="119"/>
        <v>7.25</v>
      </c>
      <c r="N89" s="128">
        <f t="shared" si="119"/>
        <v>13.625</v>
      </c>
      <c r="O89" s="128">
        <f t="shared" si="119"/>
        <v>11</v>
      </c>
      <c r="P89" s="128">
        <f t="shared" si="119"/>
        <v>21.25</v>
      </c>
      <c r="Q89" s="128" t="str">
        <f t="shared" si="119"/>
        <v>-</v>
      </c>
      <c r="R89" s="128" t="str">
        <f t="shared" si="119"/>
        <v>-</v>
      </c>
      <c r="S89" s="128">
        <f t="shared" si="119"/>
        <v>18.75</v>
      </c>
      <c r="T89" s="128" t="str">
        <f t="shared" si="119"/>
        <v>-</v>
      </c>
      <c r="U89" s="128" t="str">
        <f t="shared" si="119"/>
        <v>-</v>
      </c>
      <c r="V89" s="128" t="str">
        <f t="shared" ref="V89:AA89" si="120">V33</f>
        <v>A-00425</v>
      </c>
      <c r="W89" s="128" t="str">
        <f t="shared" si="120"/>
        <v>A-00425</v>
      </c>
      <c r="X89" s="128" t="str">
        <f t="shared" ref="X89:Y89" si="121">X33</f>
        <v>A-00427</v>
      </c>
      <c r="Y89" s="128" t="str">
        <f t="shared" si="121"/>
        <v>A-00427</v>
      </c>
      <c r="Z89" s="128" t="str">
        <f t="shared" si="120"/>
        <v>-</v>
      </c>
      <c r="AA89" s="129" t="str">
        <f t="shared" si="120"/>
        <v>-</v>
      </c>
    </row>
    <row r="90" spans="8:27" x14ac:dyDescent="0.25">
      <c r="H90" s="113" t="s">
        <v>596</v>
      </c>
      <c r="I90" s="127">
        <f>33.75-IF(OR(RHPanel="RH Outswing",RHPanel="LH Inswing"),LHOverlap,RHOverlap)</f>
        <v>32</v>
      </c>
      <c r="J90" s="119">
        <f>J34</f>
        <v>70</v>
      </c>
      <c r="K90" s="119">
        <f t="shared" ref="K90:U90" si="122">K34</f>
        <v>58</v>
      </c>
      <c r="L90" s="119">
        <f t="shared" si="122"/>
        <v>48</v>
      </c>
      <c r="M90" s="119">
        <f t="shared" si="122"/>
        <v>5</v>
      </c>
      <c r="N90" s="119" t="str">
        <f t="shared" si="122"/>
        <v>-</v>
      </c>
      <c r="O90" s="119" t="str">
        <f t="shared" si="122"/>
        <v>-</v>
      </c>
      <c r="P90" s="119" t="str">
        <f t="shared" si="122"/>
        <v>-</v>
      </c>
      <c r="Q90" s="127">
        <f t="shared" si="122"/>
        <v>6.5</v>
      </c>
      <c r="R90" s="127">
        <f t="shared" si="122"/>
        <v>10.25</v>
      </c>
      <c r="S90" s="119" t="str">
        <f t="shared" si="122"/>
        <v>-</v>
      </c>
      <c r="T90" s="119">
        <f t="shared" si="122"/>
        <v>23.25</v>
      </c>
      <c r="U90" s="119">
        <f t="shared" si="122"/>
        <v>23.25</v>
      </c>
      <c r="V90" s="119" t="str">
        <f>V34</f>
        <v>A-00545</v>
      </c>
      <c r="W90" s="119" t="str">
        <f t="shared" ref="W90:AA90" si="123">W34</f>
        <v>A-00545</v>
      </c>
      <c r="X90" s="119" t="str">
        <f>X34</f>
        <v>A-00722</v>
      </c>
      <c r="Y90" s="119" t="str">
        <f t="shared" ref="Y90" si="124">Y34</f>
        <v>A-00726</v>
      </c>
      <c r="Z90" s="119" t="str">
        <f t="shared" si="123"/>
        <v>A-00639</v>
      </c>
      <c r="AA90" s="121" t="str">
        <f t="shared" si="123"/>
        <v>A-00639</v>
      </c>
    </row>
    <row r="91" spans="8:27" x14ac:dyDescent="0.25">
      <c r="H91" s="113" t="s">
        <v>648</v>
      </c>
      <c r="I91" s="127">
        <f>33.75-IF(OR(RHPanel="RH Outswing",RHPanel="LH Inswing"),LHOverlap,RHOverlap)</f>
        <v>32</v>
      </c>
      <c r="J91" s="119">
        <f t="shared" ref="J91:U91" si="125">J35</f>
        <v>70</v>
      </c>
      <c r="K91" s="119">
        <f t="shared" si="125"/>
        <v>58</v>
      </c>
      <c r="L91" s="119">
        <f t="shared" si="125"/>
        <v>48</v>
      </c>
      <c r="M91" s="119">
        <f t="shared" si="125"/>
        <v>5</v>
      </c>
      <c r="N91" s="119">
        <f t="shared" si="125"/>
        <v>11.375</v>
      </c>
      <c r="O91" s="119">
        <f t="shared" si="125"/>
        <v>11</v>
      </c>
      <c r="P91" s="119">
        <f t="shared" si="125"/>
        <v>21.25</v>
      </c>
      <c r="Q91" s="127" t="str">
        <f t="shared" si="125"/>
        <v>-</v>
      </c>
      <c r="R91" s="127" t="str">
        <f t="shared" si="125"/>
        <v>-</v>
      </c>
      <c r="S91" s="119">
        <f t="shared" si="125"/>
        <v>16.5</v>
      </c>
      <c r="T91" s="119" t="str">
        <f t="shared" si="125"/>
        <v>-</v>
      </c>
      <c r="U91" s="119" t="str">
        <f t="shared" si="125"/>
        <v>-</v>
      </c>
      <c r="V91" s="119" t="str">
        <f t="shared" ref="V91:AA91" si="126">V35</f>
        <v>A-00425</v>
      </c>
      <c r="W91" s="119" t="str">
        <f t="shared" si="126"/>
        <v>A-00425</v>
      </c>
      <c r="X91" s="119" t="str">
        <f t="shared" ref="X91:Y91" si="127">X35</f>
        <v>A-00427</v>
      </c>
      <c r="Y91" s="119" t="str">
        <f t="shared" si="127"/>
        <v>A-00427</v>
      </c>
      <c r="Z91" s="119" t="str">
        <f t="shared" si="126"/>
        <v>-</v>
      </c>
      <c r="AA91" s="121" t="str">
        <f t="shared" si="126"/>
        <v>-</v>
      </c>
    </row>
    <row r="92" spans="8:27" x14ac:dyDescent="0.25">
      <c r="H92" s="113" t="s">
        <v>597</v>
      </c>
      <c r="I92" s="127">
        <f>34.75-IF(OR(RHPanel="RH Outswing",RHPanel="LH Inswing"),LHOverlap,RHOverlap)</f>
        <v>33</v>
      </c>
      <c r="J92" s="119">
        <f t="shared" ref="J92:U92" si="128">J36</f>
        <v>72</v>
      </c>
      <c r="K92" s="119">
        <f t="shared" si="128"/>
        <v>60</v>
      </c>
      <c r="L92" s="119">
        <f t="shared" si="128"/>
        <v>50</v>
      </c>
      <c r="M92" s="119">
        <f t="shared" si="128"/>
        <v>6</v>
      </c>
      <c r="N92" s="119" t="str">
        <f t="shared" si="128"/>
        <v>-</v>
      </c>
      <c r="O92" s="119" t="str">
        <f t="shared" si="128"/>
        <v>-</v>
      </c>
      <c r="P92" s="119" t="str">
        <f t="shared" si="128"/>
        <v>-</v>
      </c>
      <c r="Q92" s="127">
        <f t="shared" si="128"/>
        <v>4.5</v>
      </c>
      <c r="R92" s="127">
        <f t="shared" si="128"/>
        <v>9</v>
      </c>
      <c r="S92" s="119" t="str">
        <f t="shared" si="128"/>
        <v>-</v>
      </c>
      <c r="T92" s="119">
        <f t="shared" si="128"/>
        <v>25.5</v>
      </c>
      <c r="U92" s="119">
        <f t="shared" si="128"/>
        <v>25.5</v>
      </c>
      <c r="V92" s="119" t="str">
        <f t="shared" ref="V92:AA92" si="129">V36</f>
        <v>A-00545</v>
      </c>
      <c r="W92" s="119" t="str">
        <f t="shared" si="129"/>
        <v>A-00545</v>
      </c>
      <c r="X92" s="119" t="str">
        <f t="shared" ref="X92:Y92" si="130">X36</f>
        <v>A-00722</v>
      </c>
      <c r="Y92" s="119" t="str">
        <f t="shared" si="130"/>
        <v>A-00726</v>
      </c>
      <c r="Z92" s="119" t="str">
        <f t="shared" si="129"/>
        <v>A-00639</v>
      </c>
      <c r="AA92" s="121" t="str">
        <f t="shared" si="129"/>
        <v>A-00639</v>
      </c>
    </row>
    <row r="93" spans="8:27" x14ac:dyDescent="0.25">
      <c r="H93" s="113" t="s">
        <v>649</v>
      </c>
      <c r="I93" s="127">
        <f>34.75-IF(OR(RHPanel="RH Outswing",RHPanel="LH Inswing"),LHOverlap,RHOverlap)</f>
        <v>33</v>
      </c>
      <c r="J93" s="119">
        <f t="shared" ref="J93:U93" si="131">J37</f>
        <v>72</v>
      </c>
      <c r="K93" s="119">
        <f t="shared" si="131"/>
        <v>60</v>
      </c>
      <c r="L93" s="119">
        <f t="shared" si="131"/>
        <v>50</v>
      </c>
      <c r="M93" s="119">
        <f t="shared" si="131"/>
        <v>6</v>
      </c>
      <c r="N93" s="119">
        <f t="shared" si="131"/>
        <v>15</v>
      </c>
      <c r="O93" s="119">
        <f t="shared" si="131"/>
        <v>11</v>
      </c>
      <c r="P93" s="127" t="str">
        <f t="shared" si="131"/>
        <v>-</v>
      </c>
      <c r="Q93" s="127" t="str">
        <f t="shared" si="131"/>
        <v>-</v>
      </c>
      <c r="R93" s="127" t="str">
        <f t="shared" si="131"/>
        <v>-</v>
      </c>
      <c r="S93" s="119">
        <f t="shared" si="131"/>
        <v>17.5</v>
      </c>
      <c r="T93" s="119" t="str">
        <f t="shared" si="131"/>
        <v>-</v>
      </c>
      <c r="U93" s="119" t="str">
        <f t="shared" si="131"/>
        <v>-</v>
      </c>
      <c r="V93" s="119" t="str">
        <f t="shared" ref="V93:AA93" si="132">V37</f>
        <v>A-00425</v>
      </c>
      <c r="W93" s="119" t="str">
        <f t="shared" si="132"/>
        <v>A-00425</v>
      </c>
      <c r="X93" s="119" t="str">
        <f t="shared" ref="X93:Y93" si="133">X37</f>
        <v>A-00427</v>
      </c>
      <c r="Y93" s="119" t="str">
        <f t="shared" si="133"/>
        <v>A-00427</v>
      </c>
      <c r="Z93" s="119" t="str">
        <f t="shared" si="132"/>
        <v>-</v>
      </c>
      <c r="AA93" s="121" t="str">
        <f t="shared" si="132"/>
        <v>-</v>
      </c>
    </row>
    <row r="94" spans="8:27" x14ac:dyDescent="0.25">
      <c r="H94" s="113" t="s">
        <v>598</v>
      </c>
      <c r="I94" s="127">
        <f>33.75-IF(OR(RHPanel="RH Outswing",RHPanel="LH Inswing"),LHOverlap,RHOverlap)</f>
        <v>32</v>
      </c>
      <c r="J94" s="119">
        <f t="shared" ref="J94:U94" si="134">J38</f>
        <v>70</v>
      </c>
      <c r="K94" s="119">
        <f t="shared" si="134"/>
        <v>58</v>
      </c>
      <c r="L94" s="119">
        <f t="shared" si="134"/>
        <v>48</v>
      </c>
      <c r="M94" s="119">
        <f t="shared" si="134"/>
        <v>5</v>
      </c>
      <c r="N94" s="119" t="str">
        <f t="shared" si="134"/>
        <v>-</v>
      </c>
      <c r="O94" s="119" t="str">
        <f t="shared" si="134"/>
        <v>-</v>
      </c>
      <c r="P94" s="119" t="str">
        <f t="shared" si="134"/>
        <v>-</v>
      </c>
      <c r="Q94" s="127">
        <f t="shared" si="134"/>
        <v>4.5</v>
      </c>
      <c r="R94" s="127">
        <f t="shared" si="134"/>
        <v>9</v>
      </c>
      <c r="S94" s="119" t="str">
        <f t="shared" si="134"/>
        <v>-</v>
      </c>
      <c r="T94" s="119">
        <f t="shared" si="134"/>
        <v>24.5</v>
      </c>
      <c r="U94" s="119">
        <f t="shared" si="134"/>
        <v>24.5</v>
      </c>
      <c r="V94" s="119" t="str">
        <f t="shared" ref="V94:AA94" si="135">V38</f>
        <v>A-00545</v>
      </c>
      <c r="W94" s="119" t="str">
        <f t="shared" si="135"/>
        <v>A-00545</v>
      </c>
      <c r="X94" s="119" t="str">
        <f t="shared" ref="X94:Y94" si="136">X38</f>
        <v>A-00722</v>
      </c>
      <c r="Y94" s="119" t="str">
        <f t="shared" si="136"/>
        <v>A-00726</v>
      </c>
      <c r="Z94" s="119" t="str">
        <f t="shared" si="135"/>
        <v>A-00639</v>
      </c>
      <c r="AA94" s="121" t="str">
        <f t="shared" si="135"/>
        <v>A-00639</v>
      </c>
    </row>
    <row r="95" spans="8:27" x14ac:dyDescent="0.25">
      <c r="H95" s="113" t="s">
        <v>650</v>
      </c>
      <c r="I95" s="127">
        <f>33.75-IF(OR(RHPanel="RH Outswing",RHPanel="LH Inswing"),LHOverlap,RHOverlap)</f>
        <v>32</v>
      </c>
      <c r="J95" s="119">
        <f t="shared" ref="J95:U95" si="137">J39</f>
        <v>70</v>
      </c>
      <c r="K95" s="119">
        <f t="shared" si="137"/>
        <v>58</v>
      </c>
      <c r="L95" s="119">
        <f t="shared" si="137"/>
        <v>48</v>
      </c>
      <c r="M95" s="119">
        <f t="shared" si="137"/>
        <v>5</v>
      </c>
      <c r="N95" s="119">
        <f t="shared" si="137"/>
        <v>14</v>
      </c>
      <c r="O95" s="119">
        <f t="shared" si="137"/>
        <v>11</v>
      </c>
      <c r="P95" s="127" t="str">
        <f t="shared" si="137"/>
        <v>-</v>
      </c>
      <c r="Q95" s="119" t="str">
        <f t="shared" si="137"/>
        <v>-</v>
      </c>
      <c r="R95" s="119" t="str">
        <f t="shared" si="137"/>
        <v>-</v>
      </c>
      <c r="S95" s="119">
        <f t="shared" si="137"/>
        <v>16.5</v>
      </c>
      <c r="T95" s="119" t="str">
        <f t="shared" si="137"/>
        <v>-</v>
      </c>
      <c r="U95" s="119" t="str">
        <f t="shared" si="137"/>
        <v>-</v>
      </c>
      <c r="V95" s="119" t="str">
        <f t="shared" ref="V95:AA95" si="138">V39</f>
        <v>A-00425</v>
      </c>
      <c r="W95" s="119" t="str">
        <f t="shared" si="138"/>
        <v>A-00425</v>
      </c>
      <c r="X95" s="119" t="str">
        <f t="shared" ref="X95:Y95" si="139">X39</f>
        <v>A-00427</v>
      </c>
      <c r="Y95" s="119" t="str">
        <f t="shared" si="139"/>
        <v>A-00427</v>
      </c>
      <c r="Z95" s="119" t="str">
        <f t="shared" si="138"/>
        <v>-</v>
      </c>
      <c r="AA95" s="121" t="str">
        <f t="shared" si="138"/>
        <v>-</v>
      </c>
    </row>
    <row r="96" spans="8:27" x14ac:dyDescent="0.25">
      <c r="H96" s="113" t="s">
        <v>599</v>
      </c>
      <c r="I96" s="128">
        <f>33.75-IF(OR(RHPanel="RH Outswing",RHPanel="LH Inswing"),LHOverlap,RHOverlap)</f>
        <v>32</v>
      </c>
      <c r="J96" s="128">
        <f t="shared" ref="J96:U96" si="140">J40</f>
        <v>70</v>
      </c>
      <c r="K96" s="128">
        <f t="shared" si="140"/>
        <v>58</v>
      </c>
      <c r="L96" s="128">
        <f t="shared" si="140"/>
        <v>48</v>
      </c>
      <c r="M96" s="128">
        <f t="shared" si="140"/>
        <v>5</v>
      </c>
      <c r="N96" s="128" t="str">
        <f t="shared" si="140"/>
        <v>-</v>
      </c>
      <c r="O96" s="128" t="str">
        <f t="shared" si="140"/>
        <v>-</v>
      </c>
      <c r="P96" s="128" t="str">
        <f t="shared" si="140"/>
        <v>-</v>
      </c>
      <c r="Q96" s="128">
        <f t="shared" si="140"/>
        <v>6.5</v>
      </c>
      <c r="R96" s="128">
        <f t="shared" si="140"/>
        <v>10.25</v>
      </c>
      <c r="S96" s="128" t="str">
        <f t="shared" si="140"/>
        <v>-</v>
      </c>
      <c r="T96" s="128">
        <f t="shared" si="140"/>
        <v>23.25</v>
      </c>
      <c r="U96" s="128">
        <f t="shared" si="140"/>
        <v>23.25</v>
      </c>
      <c r="V96" s="128" t="str">
        <f t="shared" ref="V96:AA96" si="141">V40</f>
        <v>A-00545</v>
      </c>
      <c r="W96" s="128" t="str">
        <f t="shared" si="141"/>
        <v>A-00545</v>
      </c>
      <c r="X96" s="128" t="str">
        <f t="shared" ref="X96:Y96" si="142">X40</f>
        <v>A-00722</v>
      </c>
      <c r="Y96" s="128" t="str">
        <f t="shared" si="142"/>
        <v>A-00726</v>
      </c>
      <c r="Z96" s="128" t="str">
        <f t="shared" si="141"/>
        <v>A-00639</v>
      </c>
      <c r="AA96" s="129" t="str">
        <f t="shared" si="141"/>
        <v>A-00639</v>
      </c>
    </row>
    <row r="97" spans="8:27" x14ac:dyDescent="0.25">
      <c r="H97" s="113" t="s">
        <v>651</v>
      </c>
      <c r="I97" s="128">
        <f>33.75-IF(OR(RHPanel="RH Outswing",RHPanel="LH Inswing"),LHOverlap,RHOverlap)</f>
        <v>32</v>
      </c>
      <c r="J97" s="128">
        <f t="shared" ref="J97:U97" si="143">J41</f>
        <v>70</v>
      </c>
      <c r="K97" s="128">
        <f t="shared" si="143"/>
        <v>58</v>
      </c>
      <c r="L97" s="128">
        <f t="shared" si="143"/>
        <v>48</v>
      </c>
      <c r="M97" s="128">
        <f t="shared" si="143"/>
        <v>5</v>
      </c>
      <c r="N97" s="128">
        <f t="shared" si="143"/>
        <v>11.375</v>
      </c>
      <c r="O97" s="128">
        <f t="shared" si="143"/>
        <v>11</v>
      </c>
      <c r="P97" s="128">
        <f t="shared" si="143"/>
        <v>21.25</v>
      </c>
      <c r="Q97" s="128" t="str">
        <f t="shared" si="143"/>
        <v>-</v>
      </c>
      <c r="R97" s="128" t="str">
        <f t="shared" si="143"/>
        <v>-</v>
      </c>
      <c r="S97" s="128">
        <f t="shared" si="143"/>
        <v>16.5</v>
      </c>
      <c r="T97" s="128" t="str">
        <f t="shared" si="143"/>
        <v>-</v>
      </c>
      <c r="U97" s="128" t="str">
        <f t="shared" si="143"/>
        <v>-</v>
      </c>
      <c r="V97" s="128" t="str">
        <f t="shared" ref="V97:AA97" si="144">V41</f>
        <v>A-00425</v>
      </c>
      <c r="W97" s="128" t="str">
        <f t="shared" si="144"/>
        <v>A-00425</v>
      </c>
      <c r="X97" s="128" t="str">
        <f t="shared" ref="X97:Y97" si="145">X41</f>
        <v>A-00427</v>
      </c>
      <c r="Y97" s="128" t="str">
        <f t="shared" si="145"/>
        <v>A-00427</v>
      </c>
      <c r="Z97" s="128" t="str">
        <f t="shared" si="144"/>
        <v>-</v>
      </c>
      <c r="AA97" s="129" t="str">
        <f t="shared" si="144"/>
        <v>-</v>
      </c>
    </row>
    <row r="98" spans="8:27" x14ac:dyDescent="0.25">
      <c r="H98" s="113" t="s">
        <v>600</v>
      </c>
      <c r="I98" s="119">
        <f>I50</f>
        <v>32</v>
      </c>
      <c r="J98" s="119">
        <f t="shared" ref="J98:U98" si="146">J50</f>
        <v>68</v>
      </c>
      <c r="K98" s="119">
        <f t="shared" si="146"/>
        <v>56</v>
      </c>
      <c r="L98" s="119">
        <f t="shared" si="146"/>
        <v>48</v>
      </c>
      <c r="M98" s="119">
        <f t="shared" si="146"/>
        <v>6.5</v>
      </c>
      <c r="N98" s="119" t="str">
        <f t="shared" si="146"/>
        <v>-</v>
      </c>
      <c r="O98" s="119" t="str">
        <f t="shared" si="146"/>
        <v>-</v>
      </c>
      <c r="P98" s="119" t="str">
        <f t="shared" si="146"/>
        <v>-</v>
      </c>
      <c r="Q98" s="119">
        <f t="shared" si="146"/>
        <v>7.25</v>
      </c>
      <c r="R98" s="119">
        <f t="shared" si="146"/>
        <v>13</v>
      </c>
      <c r="S98" s="119" t="str">
        <f t="shared" si="146"/>
        <v>-</v>
      </c>
      <c r="T98" s="119">
        <f t="shared" si="146"/>
        <v>20.25</v>
      </c>
      <c r="U98" s="119">
        <f t="shared" si="146"/>
        <v>20.25</v>
      </c>
      <c r="V98" s="119" t="str">
        <f t="shared" ref="V98:AA98" si="147">V50</f>
        <v>A-00545</v>
      </c>
      <c r="W98" s="119" t="str">
        <f t="shared" si="147"/>
        <v>A-00545</v>
      </c>
      <c r="X98" s="119" t="str">
        <f t="shared" ref="X98:Y98" si="148">X50</f>
        <v>A-00658</v>
      </c>
      <c r="Y98" s="119" t="str">
        <f t="shared" si="148"/>
        <v>A-00675</v>
      </c>
      <c r="Z98" s="119" t="str">
        <f t="shared" si="147"/>
        <v>A-00639</v>
      </c>
      <c r="AA98" s="121" t="str">
        <f t="shared" si="147"/>
        <v>A-00639</v>
      </c>
    </row>
    <row r="99" spans="8:27" x14ac:dyDescent="0.25">
      <c r="H99" s="113" t="s">
        <v>652</v>
      </c>
      <c r="I99" s="119">
        <f t="shared" ref="I99:AA99" si="149">I51</f>
        <v>32</v>
      </c>
      <c r="J99" s="119">
        <f t="shared" si="149"/>
        <v>68</v>
      </c>
      <c r="K99" s="119">
        <f t="shared" si="149"/>
        <v>56</v>
      </c>
      <c r="L99" s="119">
        <f t="shared" si="149"/>
        <v>48</v>
      </c>
      <c r="M99" s="119">
        <f t="shared" si="149"/>
        <v>6.5</v>
      </c>
      <c r="N99" s="119">
        <f t="shared" si="149"/>
        <v>18.125</v>
      </c>
      <c r="O99" s="119">
        <f t="shared" si="149"/>
        <v>6.75</v>
      </c>
      <c r="P99" s="119">
        <f t="shared" si="149"/>
        <v>16</v>
      </c>
      <c r="Q99" s="119" t="str">
        <f t="shared" si="149"/>
        <v>-</v>
      </c>
      <c r="R99" s="119" t="str">
        <f t="shared" si="149"/>
        <v>-</v>
      </c>
      <c r="S99" s="119">
        <f t="shared" si="149"/>
        <v>18</v>
      </c>
      <c r="T99" s="119" t="str">
        <f t="shared" si="149"/>
        <v>-</v>
      </c>
      <c r="U99" s="119" t="str">
        <f t="shared" si="149"/>
        <v>-</v>
      </c>
      <c r="V99" s="119" t="str">
        <f t="shared" si="149"/>
        <v>A-00425</v>
      </c>
      <c r="W99" s="119" t="str">
        <f t="shared" si="149"/>
        <v>A-00425</v>
      </c>
      <c r="X99" s="119" t="str">
        <f t="shared" ref="X99:Y99" si="150">X51</f>
        <v>A-00427</v>
      </c>
      <c r="Y99" s="119" t="str">
        <f t="shared" si="150"/>
        <v>A-00427</v>
      </c>
      <c r="Z99" s="119" t="str">
        <f t="shared" si="149"/>
        <v>-</v>
      </c>
      <c r="AA99" s="121" t="str">
        <f t="shared" si="149"/>
        <v>-</v>
      </c>
    </row>
    <row r="100" spans="8:27" x14ac:dyDescent="0.25">
      <c r="H100" s="113" t="s">
        <v>601</v>
      </c>
      <c r="I100" s="119">
        <f t="shared" ref="I100:AA100" si="151">I52</f>
        <v>35</v>
      </c>
      <c r="J100" s="119">
        <f t="shared" si="151"/>
        <v>74</v>
      </c>
      <c r="K100" s="119">
        <f t="shared" si="151"/>
        <v>62</v>
      </c>
      <c r="L100" s="119">
        <f t="shared" si="151"/>
        <v>54</v>
      </c>
      <c r="M100" s="119">
        <f t="shared" si="151"/>
        <v>9.375</v>
      </c>
      <c r="N100" s="119" t="str">
        <f t="shared" si="151"/>
        <v>-</v>
      </c>
      <c r="O100" s="119" t="str">
        <f t="shared" si="151"/>
        <v>-</v>
      </c>
      <c r="P100" s="119" t="str">
        <f t="shared" si="151"/>
        <v>-</v>
      </c>
      <c r="Q100" s="119">
        <f t="shared" si="151"/>
        <v>6.25</v>
      </c>
      <c r="R100" s="119">
        <f t="shared" si="151"/>
        <v>11.5</v>
      </c>
      <c r="S100" s="119" t="str">
        <f t="shared" si="151"/>
        <v>-</v>
      </c>
      <c r="T100" s="119">
        <f t="shared" si="151"/>
        <v>23.75</v>
      </c>
      <c r="U100" s="119">
        <f t="shared" si="151"/>
        <v>23.75</v>
      </c>
      <c r="V100" s="119" t="str">
        <f t="shared" si="151"/>
        <v>A-00545</v>
      </c>
      <c r="W100" s="119" t="str">
        <f t="shared" si="151"/>
        <v>A-00545</v>
      </c>
      <c r="X100" s="119" t="str">
        <f t="shared" ref="X100:Y100" si="152">X52</f>
        <v>A-00658</v>
      </c>
      <c r="Y100" s="119" t="str">
        <f t="shared" si="152"/>
        <v>A-00675</v>
      </c>
      <c r="Z100" s="119" t="str">
        <f t="shared" si="151"/>
        <v>A-00639</v>
      </c>
      <c r="AA100" s="121" t="str">
        <f t="shared" si="151"/>
        <v>A-00639</v>
      </c>
    </row>
    <row r="101" spans="8:27" x14ac:dyDescent="0.25">
      <c r="H101" s="113" t="s">
        <v>653</v>
      </c>
      <c r="I101" s="119">
        <f t="shared" ref="I101:AA101" si="153">I53</f>
        <v>37</v>
      </c>
      <c r="J101" s="119">
        <f t="shared" si="153"/>
        <v>79</v>
      </c>
      <c r="K101" s="119">
        <f t="shared" si="153"/>
        <v>67</v>
      </c>
      <c r="L101" s="119">
        <f t="shared" si="153"/>
        <v>59</v>
      </c>
      <c r="M101" s="119">
        <f t="shared" si="153"/>
        <v>11.75</v>
      </c>
      <c r="N101" s="119">
        <f t="shared" si="153"/>
        <v>19.125</v>
      </c>
      <c r="O101" s="119">
        <f t="shared" si="153"/>
        <v>8.5</v>
      </c>
      <c r="P101" s="119">
        <f t="shared" si="153"/>
        <v>19</v>
      </c>
      <c r="Q101" s="119" t="str">
        <f t="shared" si="153"/>
        <v>-</v>
      </c>
      <c r="R101" s="119" t="str">
        <f t="shared" si="153"/>
        <v>-</v>
      </c>
      <c r="S101" s="119">
        <f t="shared" si="153"/>
        <v>23.25</v>
      </c>
      <c r="T101" s="119" t="str">
        <f t="shared" si="153"/>
        <v>-</v>
      </c>
      <c r="U101" s="119" t="str">
        <f t="shared" si="153"/>
        <v>-</v>
      </c>
      <c r="V101" s="119" t="str">
        <f t="shared" si="153"/>
        <v>A-00425</v>
      </c>
      <c r="W101" s="119" t="str">
        <f t="shared" si="153"/>
        <v>A-00425</v>
      </c>
      <c r="X101" s="119" t="str">
        <f t="shared" ref="X101:Y101" si="154">X53</f>
        <v>A-00427</v>
      </c>
      <c r="Y101" s="119" t="str">
        <f t="shared" si="154"/>
        <v>A-00427</v>
      </c>
      <c r="Z101" s="119" t="str">
        <f t="shared" si="153"/>
        <v>-</v>
      </c>
      <c r="AA101" s="121" t="str">
        <f t="shared" si="153"/>
        <v>-</v>
      </c>
    </row>
    <row r="102" spans="8:27" x14ac:dyDescent="0.25">
      <c r="H102" s="113" t="s">
        <v>602</v>
      </c>
      <c r="I102" s="119">
        <f t="shared" ref="I102:AA102" si="155">I54</f>
        <v>34</v>
      </c>
      <c r="J102" s="119">
        <f t="shared" si="155"/>
        <v>72</v>
      </c>
      <c r="K102" s="119">
        <f t="shared" si="155"/>
        <v>60</v>
      </c>
      <c r="L102" s="119">
        <f t="shared" si="155"/>
        <v>52</v>
      </c>
      <c r="M102" s="119">
        <f t="shared" si="155"/>
        <v>8.375</v>
      </c>
      <c r="N102" s="119" t="str">
        <f t="shared" si="155"/>
        <v>-</v>
      </c>
      <c r="O102" s="119" t="str">
        <f t="shared" si="155"/>
        <v>-</v>
      </c>
      <c r="P102" s="119" t="str">
        <f t="shared" si="155"/>
        <v>-</v>
      </c>
      <c r="Q102" s="119">
        <f t="shared" si="155"/>
        <v>6.25</v>
      </c>
      <c r="R102" s="119">
        <f t="shared" si="155"/>
        <v>11.5</v>
      </c>
      <c r="S102" s="119" t="str">
        <f t="shared" si="155"/>
        <v>-</v>
      </c>
      <c r="T102" s="119">
        <f t="shared" si="155"/>
        <v>22.75</v>
      </c>
      <c r="U102" s="119">
        <f t="shared" si="155"/>
        <v>22.75</v>
      </c>
      <c r="V102" s="119" t="str">
        <f t="shared" si="155"/>
        <v>A-00545</v>
      </c>
      <c r="W102" s="119" t="str">
        <f t="shared" si="155"/>
        <v>A-00545</v>
      </c>
      <c r="X102" s="119" t="str">
        <f t="shared" ref="X102:Y102" si="156">X54</f>
        <v>A-00658</v>
      </c>
      <c r="Y102" s="119" t="str">
        <f t="shared" si="156"/>
        <v>A-00675</v>
      </c>
      <c r="Z102" s="119" t="str">
        <f t="shared" si="155"/>
        <v>A-00639</v>
      </c>
      <c r="AA102" s="121" t="str">
        <f t="shared" si="155"/>
        <v>A-00639</v>
      </c>
    </row>
    <row r="103" spans="8:27" x14ac:dyDescent="0.25">
      <c r="H103" s="113" t="s">
        <v>654</v>
      </c>
      <c r="I103" s="119">
        <f t="shared" ref="I103:AA103" si="157">I55</f>
        <v>36</v>
      </c>
      <c r="J103" s="119">
        <f t="shared" si="157"/>
        <v>77</v>
      </c>
      <c r="K103" s="119">
        <f t="shared" si="157"/>
        <v>65</v>
      </c>
      <c r="L103" s="119">
        <f t="shared" si="157"/>
        <v>57</v>
      </c>
      <c r="M103" s="119">
        <f t="shared" si="157"/>
        <v>10.75</v>
      </c>
      <c r="N103" s="119">
        <f t="shared" si="157"/>
        <v>18.125</v>
      </c>
      <c r="O103" s="119">
        <f t="shared" si="157"/>
        <v>8.5</v>
      </c>
      <c r="P103" s="119">
        <f t="shared" si="157"/>
        <v>19</v>
      </c>
      <c r="Q103" s="119" t="str">
        <f t="shared" si="157"/>
        <v>-</v>
      </c>
      <c r="R103" s="119" t="str">
        <f t="shared" si="157"/>
        <v>-</v>
      </c>
      <c r="S103" s="119">
        <f t="shared" si="157"/>
        <v>22.25</v>
      </c>
      <c r="T103" s="119" t="str">
        <f t="shared" si="157"/>
        <v>-</v>
      </c>
      <c r="U103" s="119" t="str">
        <f t="shared" si="157"/>
        <v>-</v>
      </c>
      <c r="V103" s="119" t="str">
        <f t="shared" si="157"/>
        <v>A-00425</v>
      </c>
      <c r="W103" s="119" t="str">
        <f t="shared" si="157"/>
        <v>A-00425</v>
      </c>
      <c r="X103" s="119" t="str">
        <f t="shared" ref="X103:Y103" si="158">X55</f>
        <v>A-00427</v>
      </c>
      <c r="Y103" s="119" t="str">
        <f t="shared" si="158"/>
        <v>A-00427</v>
      </c>
      <c r="Z103" s="119" t="str">
        <f t="shared" si="157"/>
        <v>-</v>
      </c>
      <c r="AA103" s="121" t="str">
        <f t="shared" si="157"/>
        <v>-</v>
      </c>
    </row>
    <row r="104" spans="8:27" x14ac:dyDescent="0.25">
      <c r="H104" s="113" t="s">
        <v>603</v>
      </c>
      <c r="I104" s="128">
        <f t="shared" ref="I104:AA104" si="159">I56</f>
        <v>32</v>
      </c>
      <c r="J104" s="128">
        <f t="shared" si="159"/>
        <v>68</v>
      </c>
      <c r="K104" s="128">
        <f t="shared" si="159"/>
        <v>56</v>
      </c>
      <c r="L104" s="128">
        <f t="shared" si="159"/>
        <v>48</v>
      </c>
      <c r="M104" s="128">
        <f t="shared" si="159"/>
        <v>6.5</v>
      </c>
      <c r="N104" s="128" t="str">
        <f t="shared" si="159"/>
        <v>-</v>
      </c>
      <c r="O104" s="128" t="str">
        <f t="shared" si="159"/>
        <v>-</v>
      </c>
      <c r="P104" s="128" t="str">
        <f t="shared" si="159"/>
        <v>-</v>
      </c>
      <c r="Q104" s="128">
        <f t="shared" si="159"/>
        <v>7.25</v>
      </c>
      <c r="R104" s="128">
        <f t="shared" si="159"/>
        <v>13</v>
      </c>
      <c r="S104" s="128" t="str">
        <f t="shared" si="159"/>
        <v>-</v>
      </c>
      <c r="T104" s="128">
        <f t="shared" si="159"/>
        <v>20.25</v>
      </c>
      <c r="U104" s="128">
        <f t="shared" si="159"/>
        <v>20.25</v>
      </c>
      <c r="V104" s="128" t="str">
        <f t="shared" si="159"/>
        <v>A-00545</v>
      </c>
      <c r="W104" s="128" t="str">
        <f t="shared" si="159"/>
        <v>A-00545</v>
      </c>
      <c r="X104" s="128" t="str">
        <f t="shared" ref="X104:Y104" si="160">X56</f>
        <v>A-00658</v>
      </c>
      <c r="Y104" s="128" t="str">
        <f t="shared" si="160"/>
        <v>A-00675</v>
      </c>
      <c r="Z104" s="128" t="str">
        <f t="shared" si="159"/>
        <v>A-00639</v>
      </c>
      <c r="AA104" s="129" t="str">
        <f t="shared" si="159"/>
        <v>A-00639</v>
      </c>
    </row>
    <row r="105" spans="8:27" ht="15.75" thickBot="1" x14ac:dyDescent="0.3">
      <c r="H105" s="115" t="s">
        <v>655</v>
      </c>
      <c r="I105" s="130">
        <f t="shared" ref="I105:AA105" si="161">I57</f>
        <v>32</v>
      </c>
      <c r="J105" s="130">
        <f t="shared" si="161"/>
        <v>68</v>
      </c>
      <c r="K105" s="130">
        <f t="shared" si="161"/>
        <v>56</v>
      </c>
      <c r="L105" s="130">
        <f t="shared" si="161"/>
        <v>48</v>
      </c>
      <c r="M105" s="130">
        <f t="shared" si="161"/>
        <v>6.5</v>
      </c>
      <c r="N105" s="130">
        <f t="shared" si="161"/>
        <v>18.125</v>
      </c>
      <c r="O105" s="130">
        <f t="shared" si="161"/>
        <v>6.75</v>
      </c>
      <c r="P105" s="130">
        <f t="shared" si="161"/>
        <v>16</v>
      </c>
      <c r="Q105" s="130" t="str">
        <f t="shared" si="161"/>
        <v>-</v>
      </c>
      <c r="R105" s="130" t="str">
        <f t="shared" si="161"/>
        <v>-</v>
      </c>
      <c r="S105" s="130">
        <f t="shared" si="161"/>
        <v>18</v>
      </c>
      <c r="T105" s="130" t="str">
        <f t="shared" si="161"/>
        <v>-</v>
      </c>
      <c r="U105" s="130" t="str">
        <f t="shared" si="161"/>
        <v>-</v>
      </c>
      <c r="V105" s="130" t="str">
        <f t="shared" si="161"/>
        <v>A-00425</v>
      </c>
      <c r="W105" s="130" t="str">
        <f t="shared" si="161"/>
        <v>A-00425</v>
      </c>
      <c r="X105" s="130" t="str">
        <f t="shared" ref="X105:Y105" si="162">X57</f>
        <v>A-00427</v>
      </c>
      <c r="Y105" s="130" t="str">
        <f t="shared" si="162"/>
        <v>A-00427</v>
      </c>
      <c r="Z105" s="130" t="str">
        <f t="shared" si="161"/>
        <v>-</v>
      </c>
      <c r="AA105" s="131" t="str">
        <f t="shared" si="161"/>
        <v>-</v>
      </c>
    </row>
  </sheetData>
  <sortState xmlns:xlrd2="http://schemas.microsoft.com/office/spreadsheetml/2017/richdata2" ref="D18:E26">
    <sortCondition ref="D17"/>
  </sortState>
  <pageMargins left="0.7" right="0.7" top="0.75" bottom="0.75" header="0.3" footer="0.3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EAEC-800A-47B5-B61A-4178A84B6219}">
  <sheetPr codeName="Sheet4"/>
  <dimension ref="A1:J126"/>
  <sheetViews>
    <sheetView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5.42578125" style="15" bestFit="1" customWidth="1"/>
    <col min="2" max="4" width="11.140625" style="15" bestFit="1" customWidth="1"/>
    <col min="5" max="9" width="9.28515625" style="15" customWidth="1"/>
    <col min="10" max="16384" width="9.140625" style="15"/>
  </cols>
  <sheetData>
    <row r="1" spans="1:10" ht="45" x14ac:dyDescent="0.25">
      <c r="A1" s="14" t="s">
        <v>38</v>
      </c>
      <c r="B1" s="14" t="s">
        <v>31</v>
      </c>
      <c r="C1" s="14" t="s">
        <v>32</v>
      </c>
      <c r="D1" s="14" t="s">
        <v>33</v>
      </c>
      <c r="E1" s="14" t="s">
        <v>34</v>
      </c>
      <c r="F1" s="14" t="s">
        <v>35</v>
      </c>
      <c r="G1" s="14" t="s">
        <v>36</v>
      </c>
      <c r="H1" s="14" t="s">
        <v>37</v>
      </c>
      <c r="I1" s="14" t="s">
        <v>361</v>
      </c>
      <c r="J1" s="14"/>
    </row>
    <row r="2" spans="1:10" x14ac:dyDescent="0.25">
      <c r="A2" s="15" t="s">
        <v>681</v>
      </c>
      <c r="B2" s="15" t="s">
        <v>683</v>
      </c>
      <c r="C2" s="15" t="s">
        <v>684</v>
      </c>
      <c r="D2" s="15" t="s">
        <v>685</v>
      </c>
      <c r="E2" s="15" t="s">
        <v>683</v>
      </c>
      <c r="F2" s="15" t="s">
        <v>683</v>
      </c>
      <c r="G2" s="15" t="s">
        <v>683</v>
      </c>
      <c r="H2" s="15" t="s">
        <v>683</v>
      </c>
      <c r="I2" s="15" t="s">
        <v>683</v>
      </c>
    </row>
    <row r="3" spans="1:10" x14ac:dyDescent="0.25">
      <c r="A3" s="15" t="s">
        <v>682</v>
      </c>
      <c r="B3" s="15" t="s">
        <v>686</v>
      </c>
      <c r="C3" s="15" t="s">
        <v>687</v>
      </c>
      <c r="D3" s="15" t="s">
        <v>687</v>
      </c>
      <c r="E3" s="15" t="s">
        <v>686</v>
      </c>
      <c r="F3" s="15" t="s">
        <v>686</v>
      </c>
      <c r="G3" s="15" t="s">
        <v>686</v>
      </c>
      <c r="H3" s="15" t="s">
        <v>686</v>
      </c>
      <c r="I3" s="15" t="s">
        <v>686</v>
      </c>
    </row>
    <row r="4" spans="1:10" x14ac:dyDescent="0.25">
      <c r="A4" s="15" t="s">
        <v>732</v>
      </c>
      <c r="B4" s="15" t="s">
        <v>734</v>
      </c>
      <c r="C4" s="15" t="s">
        <v>736</v>
      </c>
      <c r="D4" s="15" t="s">
        <v>736</v>
      </c>
      <c r="E4" s="15" t="s">
        <v>734</v>
      </c>
      <c r="F4" s="15" t="s">
        <v>734</v>
      </c>
      <c r="G4" s="15" t="s">
        <v>734</v>
      </c>
      <c r="H4" s="15" t="s">
        <v>734</v>
      </c>
      <c r="I4" s="15" t="s">
        <v>734</v>
      </c>
    </row>
    <row r="5" spans="1:10" x14ac:dyDescent="0.25">
      <c r="A5" s="15" t="s">
        <v>733</v>
      </c>
      <c r="B5" s="15" t="s">
        <v>735</v>
      </c>
      <c r="C5" s="15" t="s">
        <v>736</v>
      </c>
      <c r="D5" s="15" t="s">
        <v>736</v>
      </c>
      <c r="E5" s="15" t="s">
        <v>735</v>
      </c>
      <c r="F5" s="15" t="s">
        <v>735</v>
      </c>
      <c r="G5" s="15" t="s">
        <v>735</v>
      </c>
      <c r="H5" s="15" t="s">
        <v>735</v>
      </c>
      <c r="I5" s="15" t="s">
        <v>735</v>
      </c>
    </row>
    <row r="6" spans="1:10" x14ac:dyDescent="0.25">
      <c r="A6" s="15" t="s">
        <v>728</v>
      </c>
      <c r="B6" s="15" t="s">
        <v>729</v>
      </c>
      <c r="C6" s="15" t="s">
        <v>730</v>
      </c>
      <c r="D6" s="15" t="s">
        <v>730</v>
      </c>
      <c r="E6" s="15" t="s">
        <v>729</v>
      </c>
      <c r="F6" s="15" t="s">
        <v>729</v>
      </c>
      <c r="G6" s="15" t="s">
        <v>729</v>
      </c>
      <c r="H6" s="15" t="s">
        <v>729</v>
      </c>
      <c r="I6" s="15" t="s">
        <v>729</v>
      </c>
    </row>
    <row r="7" spans="1:10" x14ac:dyDescent="0.25">
      <c r="A7" s="15" t="s">
        <v>712</v>
      </c>
      <c r="B7" s="15" t="s">
        <v>712</v>
      </c>
      <c r="C7" s="15" t="s">
        <v>713</v>
      </c>
      <c r="D7" s="15" t="s">
        <v>713</v>
      </c>
      <c r="E7" s="15" t="s">
        <v>712</v>
      </c>
      <c r="F7" s="15" t="s">
        <v>712</v>
      </c>
      <c r="G7" s="15" t="s">
        <v>712</v>
      </c>
      <c r="H7" s="15" t="s">
        <v>712</v>
      </c>
      <c r="I7" s="15" t="s">
        <v>712</v>
      </c>
    </row>
    <row r="8" spans="1:10" x14ac:dyDescent="0.25">
      <c r="A8" s="15" t="s">
        <v>669</v>
      </c>
      <c r="B8" s="15" t="s">
        <v>672</v>
      </c>
      <c r="C8" s="15" t="s">
        <v>673</v>
      </c>
      <c r="D8" s="15" t="s">
        <v>673</v>
      </c>
      <c r="E8" s="15" t="s">
        <v>672</v>
      </c>
      <c r="F8" s="15" t="s">
        <v>672</v>
      </c>
      <c r="G8" s="15" t="s">
        <v>672</v>
      </c>
      <c r="H8" s="15" t="s">
        <v>672</v>
      </c>
      <c r="I8" s="15" t="s">
        <v>672</v>
      </c>
    </row>
    <row r="9" spans="1:10" x14ac:dyDescent="0.25">
      <c r="A9" s="15" t="s">
        <v>670</v>
      </c>
      <c r="B9" s="15" t="s">
        <v>674</v>
      </c>
      <c r="C9" s="15" t="s">
        <v>675</v>
      </c>
      <c r="D9" s="15" t="s">
        <v>675</v>
      </c>
      <c r="E9" s="15" t="s">
        <v>674</v>
      </c>
      <c r="F9" s="15" t="s">
        <v>674</v>
      </c>
      <c r="G9" s="15" t="s">
        <v>674</v>
      </c>
      <c r="H9" s="15" t="s">
        <v>674</v>
      </c>
      <c r="I9" s="15" t="s">
        <v>674</v>
      </c>
    </row>
    <row r="10" spans="1:10" x14ac:dyDescent="0.25">
      <c r="A10" s="15" t="s">
        <v>700</v>
      </c>
      <c r="B10" s="15" t="s">
        <v>704</v>
      </c>
      <c r="C10" s="15" t="s">
        <v>708</v>
      </c>
      <c r="D10" s="15" t="s">
        <v>708</v>
      </c>
      <c r="E10" s="15" t="s">
        <v>704</v>
      </c>
      <c r="F10" s="15" t="s">
        <v>704</v>
      </c>
      <c r="G10" s="15" t="s">
        <v>704</v>
      </c>
      <c r="H10" s="15" t="s">
        <v>704</v>
      </c>
      <c r="I10" s="15" t="s">
        <v>704</v>
      </c>
    </row>
    <row r="11" spans="1:10" x14ac:dyDescent="0.25">
      <c r="A11" s="15" t="s">
        <v>701</v>
      </c>
      <c r="B11" s="15" t="s">
        <v>705</v>
      </c>
      <c r="C11" s="15" t="s">
        <v>709</v>
      </c>
      <c r="D11" s="15" t="s">
        <v>709</v>
      </c>
      <c r="E11" s="15" t="s">
        <v>705</v>
      </c>
      <c r="F11" s="15" t="s">
        <v>705</v>
      </c>
      <c r="G11" s="15" t="s">
        <v>705</v>
      </c>
      <c r="H11" s="15" t="s">
        <v>705</v>
      </c>
      <c r="I11" s="15" t="s">
        <v>705</v>
      </c>
    </row>
    <row r="12" spans="1:10" x14ac:dyDescent="0.25">
      <c r="A12" s="15" t="s">
        <v>702</v>
      </c>
      <c r="B12" s="15" t="s">
        <v>706</v>
      </c>
      <c r="C12" s="15" t="s">
        <v>710</v>
      </c>
      <c r="D12" s="15" t="s">
        <v>710</v>
      </c>
      <c r="E12" s="15" t="s">
        <v>706</v>
      </c>
      <c r="F12" s="15" t="s">
        <v>706</v>
      </c>
      <c r="G12" s="15" t="s">
        <v>706</v>
      </c>
      <c r="H12" s="15" t="s">
        <v>706</v>
      </c>
      <c r="I12" s="15" t="s">
        <v>706</v>
      </c>
    </row>
    <row r="13" spans="1:10" x14ac:dyDescent="0.25">
      <c r="A13" s="15" t="s">
        <v>703</v>
      </c>
      <c r="B13" s="15" t="s">
        <v>707</v>
      </c>
      <c r="C13" s="15" t="s">
        <v>711</v>
      </c>
      <c r="D13" s="15" t="s">
        <v>711</v>
      </c>
      <c r="E13" s="15" t="s">
        <v>707</v>
      </c>
      <c r="F13" s="15" t="s">
        <v>707</v>
      </c>
      <c r="G13" s="15" t="s">
        <v>707</v>
      </c>
      <c r="H13" s="15" t="s">
        <v>707</v>
      </c>
      <c r="I13" s="15" t="s">
        <v>707</v>
      </c>
    </row>
    <row r="14" spans="1:10" x14ac:dyDescent="0.25">
      <c r="A14" s="15" t="s">
        <v>688</v>
      </c>
      <c r="B14" s="15" t="s">
        <v>692</v>
      </c>
      <c r="C14" s="15" t="s">
        <v>696</v>
      </c>
      <c r="D14" s="15" t="s">
        <v>696</v>
      </c>
      <c r="E14" s="15" t="s">
        <v>692</v>
      </c>
      <c r="F14" s="15" t="s">
        <v>692</v>
      </c>
      <c r="G14" s="15" t="s">
        <v>692</v>
      </c>
      <c r="H14" s="15" t="s">
        <v>692</v>
      </c>
      <c r="I14" s="15" t="s">
        <v>692</v>
      </c>
    </row>
    <row r="15" spans="1:10" x14ac:dyDescent="0.25">
      <c r="A15" s="15" t="s">
        <v>689</v>
      </c>
      <c r="B15" s="15" t="s">
        <v>693</v>
      </c>
      <c r="C15" s="15" t="s">
        <v>697</v>
      </c>
      <c r="D15" s="15" t="s">
        <v>697</v>
      </c>
      <c r="E15" s="15" t="s">
        <v>693</v>
      </c>
      <c r="F15" s="15" t="s">
        <v>693</v>
      </c>
      <c r="G15" s="15" t="s">
        <v>693</v>
      </c>
      <c r="H15" s="15" t="s">
        <v>693</v>
      </c>
      <c r="I15" s="15" t="s">
        <v>693</v>
      </c>
    </row>
    <row r="16" spans="1:10" x14ac:dyDescent="0.25">
      <c r="A16" s="15" t="s">
        <v>690</v>
      </c>
      <c r="B16" s="15" t="s">
        <v>694</v>
      </c>
      <c r="C16" s="15" t="s">
        <v>698</v>
      </c>
      <c r="D16" s="15" t="s">
        <v>698</v>
      </c>
      <c r="E16" s="15" t="s">
        <v>694</v>
      </c>
      <c r="F16" s="15" t="s">
        <v>694</v>
      </c>
      <c r="G16" s="15" t="s">
        <v>694</v>
      </c>
      <c r="H16" s="15" t="s">
        <v>694</v>
      </c>
      <c r="I16" s="15" t="s">
        <v>694</v>
      </c>
    </row>
    <row r="17" spans="1:9" x14ac:dyDescent="0.25">
      <c r="A17" s="15" t="s">
        <v>691</v>
      </c>
      <c r="B17" s="15" t="s">
        <v>695</v>
      </c>
      <c r="C17" s="15" t="s">
        <v>699</v>
      </c>
      <c r="D17" s="15" t="s">
        <v>699</v>
      </c>
      <c r="E17" s="15" t="s">
        <v>695</v>
      </c>
      <c r="F17" s="15" t="s">
        <v>695</v>
      </c>
      <c r="G17" s="15" t="s">
        <v>695</v>
      </c>
      <c r="H17" s="15" t="s">
        <v>695</v>
      </c>
      <c r="I17" s="15" t="s">
        <v>695</v>
      </c>
    </row>
    <row r="18" spans="1:9" x14ac:dyDescent="0.25">
      <c r="A18" s="15" t="s">
        <v>679</v>
      </c>
      <c r="B18" s="15" t="s">
        <v>678</v>
      </c>
      <c r="C18" s="15" t="s">
        <v>680</v>
      </c>
      <c r="D18" s="15" t="s">
        <v>680</v>
      </c>
      <c r="E18" s="15" t="s">
        <v>678</v>
      </c>
      <c r="F18" s="15" t="s">
        <v>678</v>
      </c>
      <c r="G18" s="15" t="s">
        <v>678</v>
      </c>
      <c r="H18" s="15" t="s">
        <v>678</v>
      </c>
      <c r="I18" s="15" t="s">
        <v>678</v>
      </c>
    </row>
    <row r="19" spans="1:9" x14ac:dyDescent="0.25">
      <c r="A19" s="15" t="s">
        <v>671</v>
      </c>
      <c r="B19" s="15" t="s">
        <v>676</v>
      </c>
      <c r="C19" s="15" t="s">
        <v>677</v>
      </c>
      <c r="D19" s="15" t="s">
        <v>677</v>
      </c>
      <c r="E19" s="15" t="s">
        <v>676</v>
      </c>
      <c r="F19" s="15" t="s">
        <v>676</v>
      </c>
      <c r="G19" s="15" t="s">
        <v>676</v>
      </c>
      <c r="H19" s="15" t="s">
        <v>676</v>
      </c>
      <c r="I19" s="15" t="s">
        <v>676</v>
      </c>
    </row>
    <row r="20" spans="1:9" x14ac:dyDescent="0.25">
      <c r="A20" s="15" t="s">
        <v>39</v>
      </c>
      <c r="B20" s="15" t="s">
        <v>40</v>
      </c>
      <c r="C20" s="15" t="s">
        <v>41</v>
      </c>
      <c r="D20" s="15" t="s">
        <v>42</v>
      </c>
      <c r="E20" s="15" t="s">
        <v>40</v>
      </c>
      <c r="F20" s="15" t="s">
        <v>40</v>
      </c>
      <c r="G20" s="15" t="s">
        <v>40</v>
      </c>
      <c r="H20" s="15" t="s">
        <v>40</v>
      </c>
      <c r="I20" s="15" t="s">
        <v>40</v>
      </c>
    </row>
    <row r="21" spans="1:9" x14ac:dyDescent="0.25">
      <c r="A21" s="15" t="s">
        <v>43</v>
      </c>
      <c r="B21" s="15" t="s">
        <v>44</v>
      </c>
      <c r="C21" s="15" t="s">
        <v>45</v>
      </c>
      <c r="D21" s="15" t="s">
        <v>46</v>
      </c>
      <c r="E21" s="15" t="s">
        <v>44</v>
      </c>
      <c r="F21" s="15" t="s">
        <v>44</v>
      </c>
      <c r="G21" s="15" t="s">
        <v>44</v>
      </c>
      <c r="H21" s="15" t="s">
        <v>44</v>
      </c>
      <c r="I21" s="15" t="s">
        <v>44</v>
      </c>
    </row>
    <row r="22" spans="1:9" x14ac:dyDescent="0.25">
      <c r="A22" s="15" t="s">
        <v>47</v>
      </c>
      <c r="B22" s="15" t="s">
        <v>48</v>
      </c>
      <c r="C22" s="15" t="s">
        <v>49</v>
      </c>
      <c r="D22" s="15" t="s">
        <v>50</v>
      </c>
      <c r="E22" s="15" t="s">
        <v>48</v>
      </c>
      <c r="F22" s="15" t="s">
        <v>48</v>
      </c>
      <c r="G22" s="15" t="s">
        <v>48</v>
      </c>
      <c r="H22" s="15" t="s">
        <v>48</v>
      </c>
      <c r="I22" s="15" t="s">
        <v>48</v>
      </c>
    </row>
    <row r="23" spans="1:9" x14ac:dyDescent="0.25">
      <c r="A23" s="15" t="s">
        <v>51</v>
      </c>
      <c r="B23" s="15" t="s">
        <v>52</v>
      </c>
      <c r="C23" s="15" t="s">
        <v>53</v>
      </c>
      <c r="D23" s="15" t="s">
        <v>54</v>
      </c>
      <c r="E23" s="15" t="s">
        <v>52</v>
      </c>
      <c r="F23" s="15" t="s">
        <v>52</v>
      </c>
      <c r="G23" s="15" t="s">
        <v>52</v>
      </c>
      <c r="H23" s="15" t="s">
        <v>52</v>
      </c>
      <c r="I23" s="15" t="s">
        <v>52</v>
      </c>
    </row>
    <row r="24" spans="1:9" x14ac:dyDescent="0.25">
      <c r="A24" s="15" t="s">
        <v>55</v>
      </c>
      <c r="B24" s="15" t="s">
        <v>56</v>
      </c>
      <c r="C24" s="15" t="s">
        <v>56</v>
      </c>
      <c r="D24" s="15" t="s">
        <v>56</v>
      </c>
      <c r="E24" s="15" t="s">
        <v>56</v>
      </c>
      <c r="F24" s="15" t="s">
        <v>56</v>
      </c>
      <c r="G24" s="15" t="s">
        <v>56</v>
      </c>
      <c r="H24" s="15" t="s">
        <v>56</v>
      </c>
      <c r="I24" s="15" t="s">
        <v>56</v>
      </c>
    </row>
    <row r="25" spans="1:9" x14ac:dyDescent="0.25">
      <c r="A25" s="15" t="s">
        <v>57</v>
      </c>
      <c r="B25" s="15" t="s">
        <v>58</v>
      </c>
      <c r="C25" s="15" t="s">
        <v>58</v>
      </c>
      <c r="D25" s="15" t="s">
        <v>58</v>
      </c>
      <c r="E25" s="15" t="s">
        <v>58</v>
      </c>
      <c r="F25" s="15" t="s">
        <v>58</v>
      </c>
      <c r="G25" s="15" t="s">
        <v>58</v>
      </c>
      <c r="H25" s="15" t="s">
        <v>58</v>
      </c>
      <c r="I25" s="15" t="s">
        <v>58</v>
      </c>
    </row>
    <row r="26" spans="1:9" x14ac:dyDescent="0.25">
      <c r="A26" s="15" t="s">
        <v>59</v>
      </c>
      <c r="B26" s="15" t="s">
        <v>17</v>
      </c>
      <c r="C26" s="15" t="s">
        <v>18</v>
      </c>
      <c r="D26" s="15" t="s">
        <v>60</v>
      </c>
      <c r="E26" s="15" t="s">
        <v>17</v>
      </c>
      <c r="F26" s="15" t="s">
        <v>17</v>
      </c>
      <c r="G26" s="15" t="s">
        <v>17</v>
      </c>
      <c r="H26" s="15" t="s">
        <v>17</v>
      </c>
      <c r="I26" s="15" t="s">
        <v>17</v>
      </c>
    </row>
    <row r="27" spans="1:9" x14ac:dyDescent="0.25">
      <c r="A27" s="15" t="s">
        <v>61</v>
      </c>
      <c r="B27" s="15" t="s">
        <v>62</v>
      </c>
      <c r="C27" s="15" t="s">
        <v>63</v>
      </c>
      <c r="D27" s="15" t="s">
        <v>64</v>
      </c>
      <c r="E27" s="15" t="s">
        <v>62</v>
      </c>
      <c r="F27" s="15" t="s">
        <v>62</v>
      </c>
      <c r="G27" s="15" t="s">
        <v>62</v>
      </c>
      <c r="H27" s="15" t="s">
        <v>62</v>
      </c>
      <c r="I27" s="15" t="s">
        <v>62</v>
      </c>
    </row>
    <row r="28" spans="1:9" x14ac:dyDescent="0.25">
      <c r="A28" s="15" t="s">
        <v>65</v>
      </c>
      <c r="B28" s="15" t="s">
        <v>66</v>
      </c>
      <c r="C28" s="15" t="s">
        <v>67</v>
      </c>
      <c r="D28" s="15" t="s">
        <v>68</v>
      </c>
      <c r="E28" s="15" t="s">
        <v>66</v>
      </c>
      <c r="F28" s="15" t="s">
        <v>66</v>
      </c>
      <c r="G28" s="15" t="s">
        <v>66</v>
      </c>
      <c r="H28" s="15" t="s">
        <v>66</v>
      </c>
      <c r="I28" s="15" t="s">
        <v>66</v>
      </c>
    </row>
    <row r="29" spans="1:9" x14ac:dyDescent="0.25">
      <c r="A29" s="15" t="s">
        <v>69</v>
      </c>
      <c r="B29" s="15" t="s">
        <v>70</v>
      </c>
      <c r="C29" s="15" t="s">
        <v>71</v>
      </c>
      <c r="D29" s="15" t="s">
        <v>72</v>
      </c>
      <c r="E29" s="15" t="s">
        <v>70</v>
      </c>
      <c r="F29" s="15" t="s">
        <v>70</v>
      </c>
      <c r="G29" s="15" t="s">
        <v>70</v>
      </c>
      <c r="H29" s="15" t="s">
        <v>70</v>
      </c>
      <c r="I29" s="15" t="s">
        <v>70</v>
      </c>
    </row>
    <row r="30" spans="1:9" x14ac:dyDescent="0.25">
      <c r="A30" s="15" t="s">
        <v>73</v>
      </c>
      <c r="B30" s="15" t="s">
        <v>74</v>
      </c>
      <c r="C30" s="15" t="s">
        <v>75</v>
      </c>
      <c r="D30" s="15" t="s">
        <v>76</v>
      </c>
      <c r="E30" s="15" t="s">
        <v>74</v>
      </c>
      <c r="F30" s="15" t="s">
        <v>74</v>
      </c>
      <c r="G30" s="15" t="s">
        <v>74</v>
      </c>
      <c r="H30" s="15" t="s">
        <v>74</v>
      </c>
      <c r="I30" s="15" t="s">
        <v>74</v>
      </c>
    </row>
    <row r="31" spans="1:9" x14ac:dyDescent="0.25">
      <c r="A31" s="15" t="s">
        <v>77</v>
      </c>
      <c r="B31" s="15" t="s">
        <v>78</v>
      </c>
      <c r="C31" s="15" t="s">
        <v>79</v>
      </c>
      <c r="D31" s="15" t="s">
        <v>78</v>
      </c>
      <c r="E31" s="15" t="s">
        <v>78</v>
      </c>
      <c r="F31" s="15" t="s">
        <v>78</v>
      </c>
      <c r="G31" s="15" t="s">
        <v>78</v>
      </c>
      <c r="H31" s="15" t="s">
        <v>78</v>
      </c>
      <c r="I31" s="15" t="s">
        <v>78</v>
      </c>
    </row>
    <row r="32" spans="1:9" x14ac:dyDescent="0.25">
      <c r="A32" s="15" t="s">
        <v>80</v>
      </c>
      <c r="B32" s="15" t="s">
        <v>81</v>
      </c>
      <c r="C32" s="15" t="s">
        <v>82</v>
      </c>
      <c r="D32" s="15" t="s">
        <v>83</v>
      </c>
      <c r="E32" s="15" t="s">
        <v>81</v>
      </c>
      <c r="F32" s="15" t="s">
        <v>81</v>
      </c>
      <c r="G32" s="15" t="s">
        <v>81</v>
      </c>
      <c r="H32" s="15" t="s">
        <v>81</v>
      </c>
      <c r="I32" s="15" t="s">
        <v>81</v>
      </c>
    </row>
    <row r="33" spans="1:9" x14ac:dyDescent="0.25">
      <c r="A33" s="15" t="s">
        <v>84</v>
      </c>
      <c r="B33" s="15" t="s">
        <v>85</v>
      </c>
      <c r="C33" s="15" t="s">
        <v>86</v>
      </c>
      <c r="D33" s="15" t="s">
        <v>87</v>
      </c>
      <c r="E33" s="15" t="s">
        <v>85</v>
      </c>
      <c r="F33" s="15" t="s">
        <v>85</v>
      </c>
      <c r="G33" s="15" t="s">
        <v>85</v>
      </c>
      <c r="H33" s="15" t="s">
        <v>85</v>
      </c>
      <c r="I33" s="15" t="s">
        <v>85</v>
      </c>
    </row>
    <row r="34" spans="1:9" x14ac:dyDescent="0.25">
      <c r="A34" s="15" t="s">
        <v>88</v>
      </c>
      <c r="B34" s="15" t="s">
        <v>89</v>
      </c>
      <c r="C34" s="15" t="s">
        <v>90</v>
      </c>
      <c r="D34" s="15" t="s">
        <v>91</v>
      </c>
      <c r="E34" s="15" t="s">
        <v>89</v>
      </c>
      <c r="F34" s="15" t="s">
        <v>89</v>
      </c>
      <c r="G34" s="15" t="s">
        <v>89</v>
      </c>
      <c r="H34" s="15" t="s">
        <v>89</v>
      </c>
      <c r="I34" s="15" t="s">
        <v>89</v>
      </c>
    </row>
    <row r="35" spans="1:9" x14ac:dyDescent="0.25">
      <c r="A35" s="15" t="s">
        <v>92</v>
      </c>
      <c r="B35" s="15" t="s">
        <v>93</v>
      </c>
      <c r="C35" s="15" t="s">
        <v>94</v>
      </c>
      <c r="D35" s="15" t="s">
        <v>95</v>
      </c>
      <c r="E35" s="15" t="s">
        <v>93</v>
      </c>
      <c r="F35" s="15" t="s">
        <v>93</v>
      </c>
      <c r="G35" s="15" t="s">
        <v>93</v>
      </c>
      <c r="H35" s="15" t="s">
        <v>93</v>
      </c>
      <c r="I35" s="15" t="s">
        <v>93</v>
      </c>
    </row>
    <row r="36" spans="1:9" x14ac:dyDescent="0.25">
      <c r="A36" s="15" t="s">
        <v>96</v>
      </c>
      <c r="B36" s="15" t="s">
        <v>97</v>
      </c>
      <c r="C36" s="15" t="s">
        <v>98</v>
      </c>
      <c r="D36" s="15" t="s">
        <v>99</v>
      </c>
      <c r="E36" s="15" t="s">
        <v>97</v>
      </c>
      <c r="F36" s="15" t="s">
        <v>97</v>
      </c>
      <c r="G36" s="15" t="s">
        <v>97</v>
      </c>
      <c r="H36" s="15" t="s">
        <v>97</v>
      </c>
      <c r="I36" s="15" t="s">
        <v>97</v>
      </c>
    </row>
    <row r="37" spans="1:9" x14ac:dyDescent="0.25">
      <c r="A37" s="15" t="s">
        <v>100</v>
      </c>
      <c r="B37" s="15" t="s">
        <v>11</v>
      </c>
      <c r="C37" s="15" t="s">
        <v>12</v>
      </c>
      <c r="D37" s="15" t="s">
        <v>12</v>
      </c>
      <c r="E37" s="15" t="s">
        <v>11</v>
      </c>
      <c r="F37" s="15" t="s">
        <v>11</v>
      </c>
      <c r="G37" s="15" t="s">
        <v>11</v>
      </c>
      <c r="H37" s="15" t="s">
        <v>11</v>
      </c>
      <c r="I37" s="15" t="s">
        <v>11</v>
      </c>
    </row>
    <row r="38" spans="1:9" x14ac:dyDescent="0.25">
      <c r="A38" s="15" t="s">
        <v>101</v>
      </c>
      <c r="B38" s="15" t="s">
        <v>102</v>
      </c>
      <c r="C38" s="15" t="s">
        <v>103</v>
      </c>
      <c r="D38" s="15" t="s">
        <v>104</v>
      </c>
      <c r="E38" s="15" t="s">
        <v>102</v>
      </c>
      <c r="F38" s="15" t="s">
        <v>102</v>
      </c>
      <c r="G38" s="15" t="s">
        <v>102</v>
      </c>
      <c r="H38" s="15" t="s">
        <v>102</v>
      </c>
      <c r="I38" s="15" t="s">
        <v>102</v>
      </c>
    </row>
    <row r="39" spans="1:9" x14ac:dyDescent="0.25">
      <c r="A39" s="15" t="s">
        <v>105</v>
      </c>
      <c r="B39" s="15" t="s">
        <v>106</v>
      </c>
      <c r="C39" s="15" t="s">
        <v>107</v>
      </c>
      <c r="D39" s="15" t="s">
        <v>108</v>
      </c>
      <c r="E39" s="15" t="s">
        <v>106</v>
      </c>
      <c r="F39" s="15" t="s">
        <v>106</v>
      </c>
      <c r="G39" s="15" t="s">
        <v>106</v>
      </c>
      <c r="H39" s="15" t="s">
        <v>106</v>
      </c>
      <c r="I39" s="15" t="s">
        <v>106</v>
      </c>
    </row>
    <row r="40" spans="1:9" x14ac:dyDescent="0.25">
      <c r="A40" s="15" t="s">
        <v>109</v>
      </c>
      <c r="B40" s="15" t="s">
        <v>110</v>
      </c>
      <c r="C40" s="15" t="s">
        <v>111</v>
      </c>
      <c r="D40" s="15" t="s">
        <v>112</v>
      </c>
      <c r="E40" s="15" t="s">
        <v>110</v>
      </c>
      <c r="F40" s="15" t="s">
        <v>110</v>
      </c>
      <c r="G40" s="15" t="s">
        <v>110</v>
      </c>
      <c r="H40" s="15" t="s">
        <v>110</v>
      </c>
      <c r="I40" s="15" t="s">
        <v>110</v>
      </c>
    </row>
    <row r="41" spans="1:9" x14ac:dyDescent="0.25">
      <c r="A41" s="15" t="s">
        <v>113</v>
      </c>
      <c r="B41" s="15" t="s">
        <v>114</v>
      </c>
      <c r="C41" s="15" t="s">
        <v>115</v>
      </c>
      <c r="D41" s="15" t="s">
        <v>116</v>
      </c>
      <c r="E41" s="15" t="s">
        <v>114</v>
      </c>
      <c r="F41" s="15" t="s">
        <v>114</v>
      </c>
      <c r="G41" s="15" t="s">
        <v>114</v>
      </c>
      <c r="H41" s="15" t="s">
        <v>114</v>
      </c>
      <c r="I41" s="15" t="s">
        <v>114</v>
      </c>
    </row>
    <row r="42" spans="1:9" x14ac:dyDescent="0.25">
      <c r="A42" s="15" t="s">
        <v>117</v>
      </c>
      <c r="B42" s="15" t="s">
        <v>9</v>
      </c>
      <c r="C42" s="15" t="s">
        <v>10</v>
      </c>
      <c r="D42" s="15" t="s">
        <v>118</v>
      </c>
      <c r="E42" s="15" t="s">
        <v>9</v>
      </c>
      <c r="F42" s="15" t="s">
        <v>9</v>
      </c>
      <c r="G42" s="15" t="s">
        <v>9</v>
      </c>
      <c r="H42" s="15" t="s">
        <v>9</v>
      </c>
      <c r="I42" s="15" t="s">
        <v>9</v>
      </c>
    </row>
    <row r="43" spans="1:9" x14ac:dyDescent="0.25">
      <c r="A43" s="15" t="s">
        <v>119</v>
      </c>
      <c r="B43" s="15" t="s">
        <v>120</v>
      </c>
      <c r="C43" s="15" t="s">
        <v>120</v>
      </c>
      <c r="D43" s="15" t="s">
        <v>120</v>
      </c>
      <c r="E43" s="15" t="s">
        <v>120</v>
      </c>
      <c r="F43" s="15" t="s">
        <v>120</v>
      </c>
      <c r="G43" s="15" t="s">
        <v>120</v>
      </c>
      <c r="H43" s="15" t="s">
        <v>120</v>
      </c>
      <c r="I43" s="15" t="s">
        <v>120</v>
      </c>
    </row>
    <row r="44" spans="1:9" x14ac:dyDescent="0.25">
      <c r="A44" s="15" t="s">
        <v>121</v>
      </c>
      <c r="B44" s="15" t="s">
        <v>122</v>
      </c>
      <c r="C44" s="15" t="s">
        <v>123</v>
      </c>
      <c r="D44" s="15" t="s">
        <v>124</v>
      </c>
      <c r="E44" s="15" t="s">
        <v>122</v>
      </c>
      <c r="F44" s="15" t="s">
        <v>122</v>
      </c>
      <c r="G44" s="15" t="s">
        <v>122</v>
      </c>
      <c r="H44" s="15" t="s">
        <v>122</v>
      </c>
      <c r="I44" s="15" t="s">
        <v>122</v>
      </c>
    </row>
    <row r="45" spans="1:9" x14ac:dyDescent="0.25">
      <c r="A45" s="15" t="s">
        <v>125</v>
      </c>
      <c r="B45" s="15" t="s">
        <v>126</v>
      </c>
      <c r="C45" s="15" t="s">
        <v>127</v>
      </c>
      <c r="D45" s="15" t="s">
        <v>128</v>
      </c>
      <c r="E45" s="15" t="s">
        <v>126</v>
      </c>
      <c r="F45" s="15" t="s">
        <v>126</v>
      </c>
      <c r="G45" s="15" t="s">
        <v>126</v>
      </c>
      <c r="H45" s="15" t="s">
        <v>126</v>
      </c>
      <c r="I45" s="15" t="s">
        <v>126</v>
      </c>
    </row>
    <row r="46" spans="1:9" x14ac:dyDescent="0.25">
      <c r="A46" s="15" t="s">
        <v>129</v>
      </c>
      <c r="B46" s="15" t="s">
        <v>130</v>
      </c>
      <c r="C46" s="15" t="s">
        <v>131</v>
      </c>
      <c r="D46" s="15" t="s">
        <v>132</v>
      </c>
      <c r="E46" s="15" t="s">
        <v>130</v>
      </c>
      <c r="F46" s="15" t="s">
        <v>130</v>
      </c>
      <c r="G46" s="15" t="s">
        <v>130</v>
      </c>
      <c r="H46" s="15" t="s">
        <v>130</v>
      </c>
      <c r="I46" s="15" t="s">
        <v>130</v>
      </c>
    </row>
    <row r="47" spans="1:9" x14ac:dyDescent="0.25">
      <c r="A47" s="15" t="s">
        <v>133</v>
      </c>
      <c r="B47" s="15" t="s">
        <v>14</v>
      </c>
      <c r="C47" s="15" t="s">
        <v>15</v>
      </c>
      <c r="D47" s="15" t="s">
        <v>134</v>
      </c>
      <c r="E47" s="15" t="s">
        <v>14</v>
      </c>
      <c r="F47" s="15" t="s">
        <v>14</v>
      </c>
      <c r="G47" s="15" t="s">
        <v>14</v>
      </c>
      <c r="H47" s="15" t="s">
        <v>14</v>
      </c>
      <c r="I47" s="15" t="s">
        <v>14</v>
      </c>
    </row>
    <row r="48" spans="1:9" x14ac:dyDescent="0.25">
      <c r="A48" s="15" t="s">
        <v>135</v>
      </c>
      <c r="B48" s="15" t="s">
        <v>136</v>
      </c>
      <c r="C48" s="15" t="s">
        <v>137</v>
      </c>
      <c r="D48" s="15" t="s">
        <v>138</v>
      </c>
      <c r="E48" s="15" t="s">
        <v>136</v>
      </c>
      <c r="F48" s="15" t="s">
        <v>136</v>
      </c>
      <c r="G48" s="15" t="s">
        <v>136</v>
      </c>
      <c r="H48" s="15" t="s">
        <v>136</v>
      </c>
      <c r="I48" s="15" t="s">
        <v>136</v>
      </c>
    </row>
    <row r="49" spans="1:9" x14ac:dyDescent="0.25">
      <c r="A49" s="15" t="s">
        <v>139</v>
      </c>
      <c r="B49" s="15" t="s">
        <v>140</v>
      </c>
      <c r="C49" s="15" t="s">
        <v>140</v>
      </c>
      <c r="D49" s="15" t="s">
        <v>140</v>
      </c>
      <c r="E49" s="15" t="s">
        <v>140</v>
      </c>
      <c r="F49" s="15" t="s">
        <v>140</v>
      </c>
      <c r="G49" s="15" t="s">
        <v>140</v>
      </c>
      <c r="H49" s="15" t="s">
        <v>140</v>
      </c>
      <c r="I49" s="15" t="s">
        <v>140</v>
      </c>
    </row>
    <row r="50" spans="1:9" x14ac:dyDescent="0.25">
      <c r="A50" s="15" t="s">
        <v>141</v>
      </c>
      <c r="B50" s="15" t="s">
        <v>142</v>
      </c>
      <c r="C50" s="15" t="s">
        <v>143</v>
      </c>
      <c r="D50" s="15" t="s">
        <v>144</v>
      </c>
      <c r="E50" s="15" t="s">
        <v>142</v>
      </c>
      <c r="F50" s="15" t="s">
        <v>142</v>
      </c>
      <c r="G50" s="15" t="s">
        <v>142</v>
      </c>
      <c r="H50" s="15" t="s">
        <v>142</v>
      </c>
      <c r="I50" s="15" t="s">
        <v>142</v>
      </c>
    </row>
    <row r="51" spans="1:9" x14ac:dyDescent="0.25">
      <c r="A51" s="15" t="s">
        <v>145</v>
      </c>
      <c r="B51" s="15" t="s">
        <v>146</v>
      </c>
      <c r="C51" s="15" t="s">
        <v>146</v>
      </c>
      <c r="D51" s="15" t="s">
        <v>146</v>
      </c>
      <c r="E51" s="15" t="s">
        <v>146</v>
      </c>
      <c r="F51" s="15" t="s">
        <v>146</v>
      </c>
      <c r="G51" s="15" t="s">
        <v>146</v>
      </c>
      <c r="H51" s="15" t="s">
        <v>146</v>
      </c>
      <c r="I51" s="15" t="s">
        <v>146</v>
      </c>
    </row>
    <row r="52" spans="1:9" x14ac:dyDescent="0.25">
      <c r="A52" s="15" t="s">
        <v>147</v>
      </c>
      <c r="B52" s="15" t="s">
        <v>148</v>
      </c>
      <c r="C52" s="15" t="s">
        <v>149</v>
      </c>
      <c r="D52" s="15" t="s">
        <v>148</v>
      </c>
      <c r="E52" s="15" t="s">
        <v>148</v>
      </c>
      <c r="F52" s="15" t="s">
        <v>148</v>
      </c>
      <c r="G52" s="15" t="s">
        <v>148</v>
      </c>
      <c r="H52" s="15" t="s">
        <v>148</v>
      </c>
      <c r="I52" s="15" t="s">
        <v>148</v>
      </c>
    </row>
    <row r="53" spans="1:9" x14ac:dyDescent="0.25">
      <c r="A53" s="15" t="s">
        <v>150</v>
      </c>
      <c r="B53" s="15" t="s">
        <v>151</v>
      </c>
      <c r="C53" s="15" t="s">
        <v>152</v>
      </c>
      <c r="D53" s="15" t="s">
        <v>151</v>
      </c>
      <c r="E53" s="15" t="s">
        <v>151</v>
      </c>
      <c r="F53" s="15" t="s">
        <v>151</v>
      </c>
      <c r="G53" s="15" t="s">
        <v>151</v>
      </c>
      <c r="H53" s="15" t="s">
        <v>151</v>
      </c>
      <c r="I53" s="15" t="s">
        <v>151</v>
      </c>
    </row>
    <row r="54" spans="1:9" x14ac:dyDescent="0.25">
      <c r="A54" s="15" t="s">
        <v>153</v>
      </c>
      <c r="B54" s="15" t="s">
        <v>154</v>
      </c>
      <c r="C54" s="15" t="s">
        <v>154</v>
      </c>
      <c r="D54" s="15" t="s">
        <v>154</v>
      </c>
      <c r="E54" s="15" t="s">
        <v>154</v>
      </c>
      <c r="F54" s="15" t="s">
        <v>154</v>
      </c>
      <c r="G54" s="15" t="s">
        <v>154</v>
      </c>
      <c r="H54" s="15" t="s">
        <v>154</v>
      </c>
      <c r="I54" s="15" t="s">
        <v>154</v>
      </c>
    </row>
    <row r="55" spans="1:9" x14ac:dyDescent="0.25">
      <c r="A55" s="15" t="s">
        <v>155</v>
      </c>
      <c r="B55" s="15" t="s">
        <v>156</v>
      </c>
      <c r="C55" s="15" t="s">
        <v>157</v>
      </c>
      <c r="D55" s="15" t="s">
        <v>158</v>
      </c>
      <c r="E55" s="15" t="s">
        <v>156</v>
      </c>
      <c r="F55" s="15" t="s">
        <v>156</v>
      </c>
      <c r="G55" s="15" t="s">
        <v>156</v>
      </c>
      <c r="H55" s="15" t="s">
        <v>156</v>
      </c>
      <c r="I55" s="15" t="s">
        <v>156</v>
      </c>
    </row>
    <row r="56" spans="1:9" x14ac:dyDescent="0.25">
      <c r="A56" s="15" t="s">
        <v>159</v>
      </c>
      <c r="B56" s="15" t="s">
        <v>160</v>
      </c>
      <c r="C56" s="15" t="s">
        <v>161</v>
      </c>
      <c r="D56" s="15" t="s">
        <v>162</v>
      </c>
      <c r="E56" s="15" t="s">
        <v>160</v>
      </c>
      <c r="F56" s="15" t="s">
        <v>160</v>
      </c>
      <c r="G56" s="15" t="s">
        <v>160</v>
      </c>
      <c r="H56" s="15" t="s">
        <v>160</v>
      </c>
      <c r="I56" s="15" t="s">
        <v>160</v>
      </c>
    </row>
    <row r="57" spans="1:9" x14ac:dyDescent="0.25">
      <c r="A57" s="15" t="s">
        <v>163</v>
      </c>
      <c r="B57" s="15" t="s">
        <v>164</v>
      </c>
      <c r="C57" s="15" t="s">
        <v>165</v>
      </c>
      <c r="D57" s="15" t="s">
        <v>166</v>
      </c>
      <c r="E57" s="15" t="s">
        <v>164</v>
      </c>
      <c r="F57" s="15" t="s">
        <v>164</v>
      </c>
      <c r="G57" s="15" t="s">
        <v>164</v>
      </c>
      <c r="H57" s="15" t="s">
        <v>164</v>
      </c>
      <c r="I57" s="15" t="s">
        <v>164</v>
      </c>
    </row>
    <row r="58" spans="1:9" x14ac:dyDescent="0.25">
      <c r="A58" s="15" t="s">
        <v>167</v>
      </c>
      <c r="B58" s="15" t="s">
        <v>168</v>
      </c>
      <c r="C58" s="15" t="s">
        <v>169</v>
      </c>
      <c r="D58" s="15" t="s">
        <v>170</v>
      </c>
      <c r="E58" s="15" t="s">
        <v>168</v>
      </c>
      <c r="F58" s="15" t="s">
        <v>168</v>
      </c>
      <c r="G58" s="15" t="s">
        <v>168</v>
      </c>
      <c r="H58" s="15" t="s">
        <v>168</v>
      </c>
      <c r="I58" s="15" t="s">
        <v>168</v>
      </c>
    </row>
    <row r="59" spans="1:9" x14ac:dyDescent="0.25">
      <c r="A59" s="15" t="s">
        <v>171</v>
      </c>
      <c r="B59" s="15" t="s">
        <v>172</v>
      </c>
      <c r="C59" s="15" t="s">
        <v>173</v>
      </c>
      <c r="D59" s="15" t="s">
        <v>174</v>
      </c>
      <c r="E59" s="15" t="s">
        <v>172</v>
      </c>
      <c r="F59" s="15" t="s">
        <v>172</v>
      </c>
      <c r="G59" s="15" t="s">
        <v>172</v>
      </c>
      <c r="H59" s="15" t="s">
        <v>172</v>
      </c>
      <c r="I59" s="15" t="s">
        <v>172</v>
      </c>
    </row>
    <row r="60" spans="1:9" x14ac:dyDescent="0.25">
      <c r="A60" s="15" t="s">
        <v>175</v>
      </c>
      <c r="B60" s="15" t="s">
        <v>176</v>
      </c>
      <c r="C60" s="15" t="s">
        <v>177</v>
      </c>
      <c r="D60" s="15" t="s">
        <v>178</v>
      </c>
      <c r="E60" s="15" t="s">
        <v>176</v>
      </c>
      <c r="F60" s="15" t="s">
        <v>176</v>
      </c>
      <c r="G60" s="15" t="s">
        <v>176</v>
      </c>
      <c r="H60" s="15" t="s">
        <v>176</v>
      </c>
      <c r="I60" s="15" t="s">
        <v>176</v>
      </c>
    </row>
    <row r="61" spans="1:9" x14ac:dyDescent="0.25">
      <c r="A61" s="15" t="s">
        <v>179</v>
      </c>
      <c r="B61" s="15" t="s">
        <v>180</v>
      </c>
      <c r="C61" s="15" t="s">
        <v>181</v>
      </c>
      <c r="D61" s="15" t="s">
        <v>182</v>
      </c>
      <c r="E61" s="15" t="s">
        <v>180</v>
      </c>
      <c r="F61" s="15" t="s">
        <v>180</v>
      </c>
      <c r="G61" s="15" t="s">
        <v>180</v>
      </c>
      <c r="H61" s="15" t="s">
        <v>180</v>
      </c>
      <c r="I61" s="15" t="s">
        <v>180</v>
      </c>
    </row>
    <row r="62" spans="1:9" x14ac:dyDescent="0.25">
      <c r="A62" s="15" t="s">
        <v>183</v>
      </c>
      <c r="B62" s="15" t="s">
        <v>184</v>
      </c>
      <c r="C62" s="15" t="s">
        <v>185</v>
      </c>
      <c r="D62" s="15" t="s">
        <v>186</v>
      </c>
      <c r="E62" s="15" t="s">
        <v>184</v>
      </c>
      <c r="F62" s="15" t="s">
        <v>184</v>
      </c>
      <c r="G62" s="15" t="s">
        <v>184</v>
      </c>
      <c r="H62" s="15" t="s">
        <v>184</v>
      </c>
      <c r="I62" s="15" t="s">
        <v>184</v>
      </c>
    </row>
    <row r="63" spans="1:9" x14ac:dyDescent="0.25">
      <c r="A63" s="15" t="s">
        <v>30</v>
      </c>
      <c r="B63" s="15" t="s">
        <v>30</v>
      </c>
      <c r="C63" s="15" t="s">
        <v>30</v>
      </c>
      <c r="D63" s="15" t="s">
        <v>30</v>
      </c>
      <c r="E63" s="15" t="s">
        <v>30</v>
      </c>
      <c r="F63" s="15" t="s">
        <v>30</v>
      </c>
      <c r="G63" s="15" t="s">
        <v>30</v>
      </c>
      <c r="H63" s="15" t="s">
        <v>30</v>
      </c>
      <c r="I63" s="15" t="s">
        <v>30</v>
      </c>
    </row>
    <row r="64" spans="1:9" x14ac:dyDescent="0.25">
      <c r="A64" s="15" t="s">
        <v>187</v>
      </c>
      <c r="B64" s="15" t="s">
        <v>188</v>
      </c>
      <c r="C64" s="15" t="s">
        <v>189</v>
      </c>
      <c r="D64" s="15" t="s">
        <v>190</v>
      </c>
      <c r="E64" s="15" t="s">
        <v>188</v>
      </c>
      <c r="F64" s="15" t="s">
        <v>188</v>
      </c>
      <c r="G64" s="15" t="s">
        <v>188</v>
      </c>
      <c r="H64" s="15" t="s">
        <v>188</v>
      </c>
      <c r="I64" s="15" t="s">
        <v>188</v>
      </c>
    </row>
    <row r="65" spans="1:9" x14ac:dyDescent="0.25">
      <c r="A65" s="15" t="s">
        <v>191</v>
      </c>
      <c r="B65" s="15" t="s">
        <v>192</v>
      </c>
      <c r="C65" s="15" t="s">
        <v>192</v>
      </c>
      <c r="D65" s="15" t="s">
        <v>192</v>
      </c>
      <c r="E65" s="15" t="s">
        <v>192</v>
      </c>
      <c r="F65" s="15" t="s">
        <v>192</v>
      </c>
      <c r="G65" s="15" t="s">
        <v>192</v>
      </c>
      <c r="H65" s="15" t="s">
        <v>192</v>
      </c>
      <c r="I65" s="15" t="s">
        <v>192</v>
      </c>
    </row>
    <row r="66" spans="1:9" x14ac:dyDescent="0.25">
      <c r="A66" s="15" t="s">
        <v>193</v>
      </c>
      <c r="B66" s="15" t="s">
        <v>194</v>
      </c>
      <c r="C66" s="15" t="s">
        <v>195</v>
      </c>
      <c r="D66" s="15" t="s">
        <v>196</v>
      </c>
      <c r="E66" s="15" t="s">
        <v>194</v>
      </c>
      <c r="F66" s="15" t="s">
        <v>194</v>
      </c>
      <c r="G66" s="15" t="s">
        <v>194</v>
      </c>
      <c r="H66" s="15" t="s">
        <v>194</v>
      </c>
      <c r="I66" s="15" t="s">
        <v>194</v>
      </c>
    </row>
    <row r="67" spans="1:9" x14ac:dyDescent="0.25">
      <c r="A67" s="15" t="s">
        <v>197</v>
      </c>
      <c r="B67" s="15" t="s">
        <v>198</v>
      </c>
      <c r="C67" s="15" t="s">
        <v>198</v>
      </c>
      <c r="D67" s="15" t="s">
        <v>198</v>
      </c>
      <c r="E67" s="15" t="s">
        <v>198</v>
      </c>
      <c r="F67" s="15" t="s">
        <v>198</v>
      </c>
      <c r="G67" s="15" t="s">
        <v>198</v>
      </c>
      <c r="H67" s="15" t="s">
        <v>198</v>
      </c>
      <c r="I67" s="15" t="s">
        <v>198</v>
      </c>
    </row>
    <row r="68" spans="1:9" x14ac:dyDescent="0.25">
      <c r="A68" s="15" t="s">
        <v>199</v>
      </c>
      <c r="B68" s="15" t="s">
        <v>200</v>
      </c>
      <c r="C68" s="15" t="s">
        <v>201</v>
      </c>
      <c r="D68" s="15" t="s">
        <v>202</v>
      </c>
      <c r="E68" s="15" t="s">
        <v>200</v>
      </c>
      <c r="F68" s="15" t="s">
        <v>200</v>
      </c>
      <c r="G68" s="15" t="s">
        <v>200</v>
      </c>
      <c r="H68" s="15" t="s">
        <v>200</v>
      </c>
      <c r="I68" s="15" t="s">
        <v>200</v>
      </c>
    </row>
    <row r="69" spans="1:9" x14ac:dyDescent="0.25">
      <c r="A69" s="15" t="s">
        <v>203</v>
      </c>
      <c r="B69" s="15" t="s">
        <v>204</v>
      </c>
      <c r="C69" s="15" t="s">
        <v>205</v>
      </c>
      <c r="D69" s="15" t="s">
        <v>206</v>
      </c>
      <c r="E69" s="15" t="s">
        <v>204</v>
      </c>
      <c r="F69" s="15" t="s">
        <v>204</v>
      </c>
      <c r="G69" s="15" t="s">
        <v>204</v>
      </c>
      <c r="H69" s="15" t="s">
        <v>204</v>
      </c>
      <c r="I69" s="15" t="s">
        <v>204</v>
      </c>
    </row>
    <row r="70" spans="1:9" x14ac:dyDescent="0.25">
      <c r="A70" s="15" t="s">
        <v>207</v>
      </c>
      <c r="B70" s="15" t="s">
        <v>208</v>
      </c>
      <c r="C70" s="15" t="s">
        <v>209</v>
      </c>
      <c r="D70" s="15" t="s">
        <v>208</v>
      </c>
      <c r="E70" s="15" t="s">
        <v>208</v>
      </c>
      <c r="F70" s="15" t="s">
        <v>208</v>
      </c>
      <c r="G70" s="15" t="s">
        <v>208</v>
      </c>
      <c r="H70" s="15" t="s">
        <v>208</v>
      </c>
      <c r="I70" s="15" t="s">
        <v>208</v>
      </c>
    </row>
    <row r="71" spans="1:9" x14ac:dyDescent="0.25">
      <c r="A71" s="15" t="s">
        <v>210</v>
      </c>
      <c r="B71" s="15" t="s">
        <v>211</v>
      </c>
      <c r="C71" s="15" t="s">
        <v>212</v>
      </c>
      <c r="D71" s="15" t="s">
        <v>213</v>
      </c>
      <c r="E71" s="15" t="s">
        <v>211</v>
      </c>
      <c r="F71" s="15" t="s">
        <v>211</v>
      </c>
      <c r="G71" s="15" t="s">
        <v>211</v>
      </c>
      <c r="H71" s="15" t="s">
        <v>211</v>
      </c>
      <c r="I71" s="15" t="s">
        <v>211</v>
      </c>
    </row>
    <row r="72" spans="1:9" x14ac:dyDescent="0.25">
      <c r="A72" s="15" t="s">
        <v>214</v>
      </c>
      <c r="B72" s="15" t="s">
        <v>215</v>
      </c>
      <c r="C72" s="15" t="s">
        <v>216</v>
      </c>
      <c r="D72" s="15" t="s">
        <v>215</v>
      </c>
      <c r="E72" s="15" t="s">
        <v>215</v>
      </c>
      <c r="F72" s="15" t="s">
        <v>215</v>
      </c>
      <c r="G72" s="15" t="s">
        <v>215</v>
      </c>
      <c r="H72" s="15" t="s">
        <v>215</v>
      </c>
      <c r="I72" s="15" t="s">
        <v>215</v>
      </c>
    </row>
    <row r="73" spans="1:9" x14ac:dyDescent="0.25">
      <c r="A73" s="15" t="s">
        <v>217</v>
      </c>
      <c r="B73" s="15" t="s">
        <v>218</v>
      </c>
      <c r="C73" s="15" t="s">
        <v>219</v>
      </c>
      <c r="D73" s="15" t="s">
        <v>218</v>
      </c>
      <c r="E73" s="15" t="s">
        <v>218</v>
      </c>
      <c r="F73" s="15" t="s">
        <v>218</v>
      </c>
      <c r="G73" s="15" t="s">
        <v>218</v>
      </c>
      <c r="H73" s="15" t="s">
        <v>218</v>
      </c>
      <c r="I73" s="15" t="s">
        <v>218</v>
      </c>
    </row>
    <row r="74" spans="1:9" x14ac:dyDescent="0.25">
      <c r="A74" s="15" t="s">
        <v>220</v>
      </c>
      <c r="B74" s="15" t="s">
        <v>221</v>
      </c>
      <c r="C74" s="15" t="s">
        <v>222</v>
      </c>
      <c r="D74" s="15" t="s">
        <v>223</v>
      </c>
      <c r="E74" s="15" t="s">
        <v>221</v>
      </c>
      <c r="F74" s="15" t="s">
        <v>221</v>
      </c>
      <c r="G74" s="15" t="s">
        <v>221</v>
      </c>
      <c r="H74" s="15" t="s">
        <v>221</v>
      </c>
      <c r="I74" s="15" t="s">
        <v>221</v>
      </c>
    </row>
    <row r="75" spans="1:9" x14ac:dyDescent="0.25">
      <c r="A75" s="15" t="s">
        <v>224</v>
      </c>
      <c r="B75" s="15" t="s">
        <v>225</v>
      </c>
      <c r="C75" s="15" t="s">
        <v>225</v>
      </c>
      <c r="D75" s="15" t="s">
        <v>225</v>
      </c>
      <c r="E75" s="15" t="s">
        <v>225</v>
      </c>
      <c r="F75" s="15" t="s">
        <v>225</v>
      </c>
      <c r="G75" s="15" t="s">
        <v>225</v>
      </c>
      <c r="H75" s="15" t="s">
        <v>225</v>
      </c>
      <c r="I75" s="15" t="s">
        <v>225</v>
      </c>
    </row>
    <row r="76" spans="1:9" x14ac:dyDescent="0.25">
      <c r="A76" s="15" t="s">
        <v>226</v>
      </c>
      <c r="B76" s="15" t="s">
        <v>227</v>
      </c>
      <c r="C76" s="15" t="s">
        <v>228</v>
      </c>
      <c r="D76" s="15" t="s">
        <v>229</v>
      </c>
      <c r="E76" s="15" t="s">
        <v>227</v>
      </c>
      <c r="F76" s="15" t="s">
        <v>227</v>
      </c>
      <c r="G76" s="15" t="s">
        <v>227</v>
      </c>
      <c r="H76" s="15" t="s">
        <v>227</v>
      </c>
      <c r="I76" s="15" t="s">
        <v>227</v>
      </c>
    </row>
    <row r="77" spans="1:9" x14ac:dyDescent="0.25">
      <c r="A77" s="15" t="s">
        <v>230</v>
      </c>
      <c r="B77" s="15" t="s">
        <v>231</v>
      </c>
      <c r="C77" s="15" t="s">
        <v>232</v>
      </c>
      <c r="D77" s="15" t="s">
        <v>233</v>
      </c>
      <c r="E77" s="15" t="s">
        <v>231</v>
      </c>
      <c r="F77" s="15" t="s">
        <v>231</v>
      </c>
      <c r="G77" s="15" t="s">
        <v>231</v>
      </c>
      <c r="H77" s="15" t="s">
        <v>231</v>
      </c>
      <c r="I77" s="15" t="s">
        <v>231</v>
      </c>
    </row>
    <row r="78" spans="1:9" x14ac:dyDescent="0.25">
      <c r="A78" s="15" t="s">
        <v>234</v>
      </c>
      <c r="B78" s="15" t="s">
        <v>235</v>
      </c>
      <c r="C78" s="15" t="s">
        <v>236</v>
      </c>
      <c r="D78" s="15" t="s">
        <v>235</v>
      </c>
      <c r="E78" s="15" t="s">
        <v>235</v>
      </c>
      <c r="F78" s="15" t="s">
        <v>235</v>
      </c>
      <c r="G78" s="15" t="s">
        <v>235</v>
      </c>
      <c r="H78" s="15" t="s">
        <v>235</v>
      </c>
      <c r="I78" s="15" t="s">
        <v>235</v>
      </c>
    </row>
    <row r="79" spans="1:9" x14ac:dyDescent="0.25">
      <c r="A79" s="15" t="s">
        <v>237</v>
      </c>
      <c r="B79" s="15" t="s">
        <v>238</v>
      </c>
      <c r="C79" s="15" t="s">
        <v>239</v>
      </c>
      <c r="D79" s="15" t="s">
        <v>238</v>
      </c>
      <c r="E79" s="15" t="s">
        <v>238</v>
      </c>
      <c r="F79" s="15" t="s">
        <v>238</v>
      </c>
      <c r="G79" s="15" t="s">
        <v>238</v>
      </c>
      <c r="H79" s="15" t="s">
        <v>238</v>
      </c>
      <c r="I79" s="15" t="s">
        <v>238</v>
      </c>
    </row>
    <row r="80" spans="1:9" x14ac:dyDescent="0.25">
      <c r="A80" s="15" t="s">
        <v>240</v>
      </c>
      <c r="B80" s="15" t="s">
        <v>241</v>
      </c>
      <c r="C80" s="15" t="s">
        <v>241</v>
      </c>
      <c r="D80" s="15" t="s">
        <v>241</v>
      </c>
      <c r="E80" s="15" t="s">
        <v>241</v>
      </c>
      <c r="F80" s="15" t="s">
        <v>241</v>
      </c>
      <c r="G80" s="15" t="s">
        <v>241</v>
      </c>
      <c r="H80" s="15" t="s">
        <v>241</v>
      </c>
      <c r="I80" s="15" t="s">
        <v>241</v>
      </c>
    </row>
    <row r="81" spans="1:9" x14ac:dyDescent="0.25">
      <c r="A81" s="15" t="s">
        <v>242</v>
      </c>
      <c r="B81" s="15" t="s">
        <v>243</v>
      </c>
      <c r="C81" s="15" t="s">
        <v>244</v>
      </c>
      <c r="D81" s="15" t="s">
        <v>245</v>
      </c>
      <c r="E81" s="15" t="s">
        <v>243</v>
      </c>
      <c r="F81" s="15" t="s">
        <v>243</v>
      </c>
      <c r="G81" s="15" t="s">
        <v>243</v>
      </c>
      <c r="H81" s="15" t="s">
        <v>243</v>
      </c>
      <c r="I81" s="15" t="s">
        <v>243</v>
      </c>
    </row>
    <row r="82" spans="1:9" x14ac:dyDescent="0.25">
      <c r="A82" s="15" t="s">
        <v>246</v>
      </c>
      <c r="B82" s="15" t="s">
        <v>247</v>
      </c>
      <c r="C82" s="15" t="s">
        <v>248</v>
      </c>
      <c r="D82" s="15" t="s">
        <v>247</v>
      </c>
      <c r="E82" s="15" t="s">
        <v>247</v>
      </c>
      <c r="F82" s="15" t="s">
        <v>247</v>
      </c>
      <c r="G82" s="15" t="s">
        <v>247</v>
      </c>
      <c r="H82" s="15" t="s">
        <v>247</v>
      </c>
      <c r="I82" s="15" t="s">
        <v>247</v>
      </c>
    </row>
    <row r="83" spans="1:9" x14ac:dyDescent="0.25">
      <c r="A83" s="15" t="s">
        <v>249</v>
      </c>
      <c r="B83" s="15" t="s">
        <v>250</v>
      </c>
      <c r="C83" s="15" t="s">
        <v>251</v>
      </c>
      <c r="D83" s="15" t="s">
        <v>250</v>
      </c>
      <c r="E83" s="15" t="s">
        <v>250</v>
      </c>
      <c r="F83" s="15" t="s">
        <v>250</v>
      </c>
      <c r="G83" s="15" t="s">
        <v>250</v>
      </c>
      <c r="H83" s="15" t="s">
        <v>250</v>
      </c>
      <c r="I83" s="15" t="s">
        <v>250</v>
      </c>
    </row>
    <row r="84" spans="1:9" x14ac:dyDescent="0.25">
      <c r="A84" s="15" t="s">
        <v>252</v>
      </c>
      <c r="B84" s="15" t="s">
        <v>253</v>
      </c>
      <c r="C84" s="15" t="s">
        <v>253</v>
      </c>
      <c r="D84" s="15" t="s">
        <v>253</v>
      </c>
      <c r="E84" s="15" t="s">
        <v>253</v>
      </c>
      <c r="F84" s="15" t="s">
        <v>253</v>
      </c>
      <c r="G84" s="15" t="s">
        <v>253</v>
      </c>
      <c r="H84" s="15" t="s">
        <v>253</v>
      </c>
      <c r="I84" s="15" t="s">
        <v>253</v>
      </c>
    </row>
    <row r="85" spans="1:9" x14ac:dyDescent="0.25">
      <c r="A85" s="15" t="s">
        <v>349</v>
      </c>
      <c r="B85" s="15" t="s">
        <v>350</v>
      </c>
      <c r="C85" s="15" t="s">
        <v>351</v>
      </c>
      <c r="D85" s="15" t="s">
        <v>350</v>
      </c>
      <c r="E85" s="15" t="s">
        <v>350</v>
      </c>
      <c r="F85" s="15" t="s">
        <v>350</v>
      </c>
      <c r="G85" s="15" t="s">
        <v>350</v>
      </c>
      <c r="H85" s="15" t="s">
        <v>350</v>
      </c>
      <c r="I85" s="15" t="s">
        <v>350</v>
      </c>
    </row>
    <row r="86" spans="1:9" x14ac:dyDescent="0.25">
      <c r="A86" s="15" t="s">
        <v>254</v>
      </c>
      <c r="B86" s="15" t="s">
        <v>255</v>
      </c>
      <c r="C86" s="15" t="s">
        <v>256</v>
      </c>
      <c r="D86" s="15" t="s">
        <v>257</v>
      </c>
      <c r="E86" s="15" t="s">
        <v>255</v>
      </c>
      <c r="F86" s="15" t="s">
        <v>255</v>
      </c>
      <c r="G86" s="15" t="s">
        <v>255</v>
      </c>
      <c r="H86" s="15" t="s">
        <v>255</v>
      </c>
      <c r="I86" s="15" t="s">
        <v>255</v>
      </c>
    </row>
    <row r="87" spans="1:9" x14ac:dyDescent="0.25">
      <c r="A87" s="15" t="s">
        <v>258</v>
      </c>
      <c r="B87" s="15" t="s">
        <v>259</v>
      </c>
      <c r="C87" s="15" t="s">
        <v>260</v>
      </c>
      <c r="D87" s="15" t="s">
        <v>261</v>
      </c>
      <c r="E87" s="15" t="s">
        <v>259</v>
      </c>
      <c r="F87" s="15" t="s">
        <v>259</v>
      </c>
      <c r="G87" s="15" t="s">
        <v>259</v>
      </c>
      <c r="H87" s="15" t="s">
        <v>259</v>
      </c>
      <c r="I87" s="15" t="s">
        <v>259</v>
      </c>
    </row>
    <row r="88" spans="1:9" x14ac:dyDescent="0.25">
      <c r="A88" s="15" t="s">
        <v>262</v>
      </c>
      <c r="B88" s="15" t="s">
        <v>263</v>
      </c>
      <c r="C88" s="15" t="s">
        <v>264</v>
      </c>
      <c r="D88" s="15" t="s">
        <v>263</v>
      </c>
      <c r="E88" s="15" t="s">
        <v>263</v>
      </c>
      <c r="F88" s="15" t="s">
        <v>263</v>
      </c>
      <c r="G88" s="15" t="s">
        <v>263</v>
      </c>
      <c r="H88" s="15" t="s">
        <v>263</v>
      </c>
      <c r="I88" s="15" t="s">
        <v>263</v>
      </c>
    </row>
    <row r="89" spans="1:9" x14ac:dyDescent="0.25">
      <c r="A89" s="15" t="s">
        <v>265</v>
      </c>
      <c r="B89" s="15" t="s">
        <v>266</v>
      </c>
      <c r="C89" s="15" t="s">
        <v>267</v>
      </c>
      <c r="D89" s="15" t="s">
        <v>268</v>
      </c>
      <c r="E89" s="15" t="s">
        <v>266</v>
      </c>
      <c r="F89" s="15" t="s">
        <v>266</v>
      </c>
      <c r="G89" s="15" t="s">
        <v>266</v>
      </c>
      <c r="H89" s="15" t="s">
        <v>266</v>
      </c>
      <c r="I89" s="15" t="s">
        <v>266</v>
      </c>
    </row>
    <row r="90" spans="1:9" x14ac:dyDescent="0.25">
      <c r="A90" s="15" t="s">
        <v>269</v>
      </c>
      <c r="B90" s="15" t="s">
        <v>270</v>
      </c>
      <c r="C90" s="15" t="s">
        <v>271</v>
      </c>
      <c r="D90" s="15" t="s">
        <v>272</v>
      </c>
      <c r="E90" s="15" t="s">
        <v>270</v>
      </c>
      <c r="F90" s="15" t="s">
        <v>270</v>
      </c>
      <c r="G90" s="15" t="s">
        <v>270</v>
      </c>
      <c r="H90" s="15" t="s">
        <v>270</v>
      </c>
      <c r="I90" s="15" t="s">
        <v>270</v>
      </c>
    </row>
    <row r="91" spans="1:9" x14ac:dyDescent="0.25">
      <c r="A91" s="15" t="s">
        <v>273</v>
      </c>
      <c r="B91" s="15" t="s">
        <v>274</v>
      </c>
      <c r="C91" s="15" t="s">
        <v>274</v>
      </c>
      <c r="D91" s="15" t="s">
        <v>274</v>
      </c>
      <c r="E91" s="15" t="s">
        <v>274</v>
      </c>
      <c r="F91" s="15" t="s">
        <v>274</v>
      </c>
      <c r="G91" s="15" t="s">
        <v>274</v>
      </c>
      <c r="H91" s="15" t="s">
        <v>274</v>
      </c>
      <c r="I91" s="15" t="s">
        <v>274</v>
      </c>
    </row>
    <row r="92" spans="1:9" x14ac:dyDescent="0.25">
      <c r="A92" s="15" t="s">
        <v>275</v>
      </c>
      <c r="B92" s="15" t="s">
        <v>276</v>
      </c>
      <c r="C92" s="15" t="s">
        <v>277</v>
      </c>
      <c r="D92" s="15" t="s">
        <v>278</v>
      </c>
      <c r="E92" s="15" t="s">
        <v>276</v>
      </c>
      <c r="F92" s="15" t="s">
        <v>276</v>
      </c>
      <c r="G92" s="15" t="s">
        <v>276</v>
      </c>
      <c r="H92" s="15" t="s">
        <v>276</v>
      </c>
      <c r="I92" s="15" t="s">
        <v>276</v>
      </c>
    </row>
    <row r="93" spans="1:9" x14ac:dyDescent="0.25">
      <c r="A93" s="15" t="s">
        <v>279</v>
      </c>
      <c r="B93" s="15" t="s">
        <v>280</v>
      </c>
      <c r="C93" s="15" t="s">
        <v>281</v>
      </c>
      <c r="D93" s="15" t="s">
        <v>282</v>
      </c>
      <c r="E93" s="15" t="s">
        <v>280</v>
      </c>
      <c r="F93" s="15" t="s">
        <v>280</v>
      </c>
      <c r="G93" s="15" t="s">
        <v>280</v>
      </c>
      <c r="H93" s="15" t="s">
        <v>280</v>
      </c>
      <c r="I93" s="15" t="s">
        <v>280</v>
      </c>
    </row>
    <row r="94" spans="1:9" x14ac:dyDescent="0.25">
      <c r="A94" s="15" t="s">
        <v>283</v>
      </c>
      <c r="B94" s="15" t="s">
        <v>284</v>
      </c>
      <c r="C94" s="15" t="s">
        <v>285</v>
      </c>
      <c r="D94" s="15" t="s">
        <v>284</v>
      </c>
      <c r="E94" s="15" t="s">
        <v>284</v>
      </c>
      <c r="F94" s="15" t="s">
        <v>284</v>
      </c>
      <c r="G94" s="15" t="s">
        <v>284</v>
      </c>
      <c r="H94" s="15" t="s">
        <v>284</v>
      </c>
      <c r="I94" s="15" t="s">
        <v>284</v>
      </c>
    </row>
    <row r="95" spans="1:9" x14ac:dyDescent="0.25">
      <c r="A95" s="15" t="s">
        <v>286</v>
      </c>
      <c r="B95" s="15" t="s">
        <v>287</v>
      </c>
      <c r="C95" s="15" t="s">
        <v>287</v>
      </c>
      <c r="D95" s="15" t="s">
        <v>287</v>
      </c>
      <c r="E95" s="15" t="s">
        <v>287</v>
      </c>
      <c r="F95" s="15" t="s">
        <v>287</v>
      </c>
      <c r="G95" s="15" t="s">
        <v>287</v>
      </c>
      <c r="H95" s="15" t="s">
        <v>287</v>
      </c>
      <c r="I95" s="15" t="s">
        <v>287</v>
      </c>
    </row>
    <row r="96" spans="1:9" x14ac:dyDescent="0.25">
      <c r="A96" s="15" t="s">
        <v>288</v>
      </c>
      <c r="B96" s="15" t="s">
        <v>289</v>
      </c>
      <c r="C96" s="15" t="s">
        <v>290</v>
      </c>
      <c r="D96" s="15" t="s">
        <v>291</v>
      </c>
      <c r="E96" s="15" t="s">
        <v>289</v>
      </c>
      <c r="F96" s="15" t="s">
        <v>289</v>
      </c>
      <c r="G96" s="15" t="s">
        <v>289</v>
      </c>
      <c r="H96" s="15" t="s">
        <v>289</v>
      </c>
      <c r="I96" s="15" t="s">
        <v>289</v>
      </c>
    </row>
    <row r="97" spans="1:9" x14ac:dyDescent="0.25">
      <c r="A97" s="15" t="s">
        <v>292</v>
      </c>
      <c r="B97" s="15" t="s">
        <v>293</v>
      </c>
      <c r="C97" s="15" t="s">
        <v>294</v>
      </c>
      <c r="D97" s="15" t="s">
        <v>295</v>
      </c>
      <c r="E97" s="15" t="s">
        <v>293</v>
      </c>
      <c r="F97" s="15" t="s">
        <v>293</v>
      </c>
      <c r="G97" s="15" t="s">
        <v>293</v>
      </c>
      <c r="H97" s="15" t="s">
        <v>293</v>
      </c>
      <c r="I97" s="15" t="s">
        <v>293</v>
      </c>
    </row>
    <row r="98" spans="1:9" x14ac:dyDescent="0.25">
      <c r="A98" s="15" t="s">
        <v>296</v>
      </c>
      <c r="B98" s="15" t="s">
        <v>297</v>
      </c>
      <c r="C98" s="15" t="s">
        <v>298</v>
      </c>
      <c r="D98" s="15" t="s">
        <v>299</v>
      </c>
      <c r="E98" s="15" t="s">
        <v>297</v>
      </c>
      <c r="F98" s="15" t="s">
        <v>297</v>
      </c>
      <c r="G98" s="15" t="s">
        <v>297</v>
      </c>
      <c r="H98" s="15" t="s">
        <v>297</v>
      </c>
      <c r="I98" s="15" t="s">
        <v>297</v>
      </c>
    </row>
    <row r="99" spans="1:9" x14ac:dyDescent="0.25">
      <c r="A99" s="15" t="s">
        <v>300</v>
      </c>
      <c r="B99" s="15" t="s">
        <v>301</v>
      </c>
      <c r="C99" s="15" t="s">
        <v>302</v>
      </c>
      <c r="D99" s="15" t="s">
        <v>303</v>
      </c>
      <c r="E99" s="15" t="s">
        <v>301</v>
      </c>
      <c r="F99" s="15" t="s">
        <v>301</v>
      </c>
      <c r="G99" s="15" t="s">
        <v>301</v>
      </c>
      <c r="H99" s="15" t="s">
        <v>301</v>
      </c>
      <c r="I99" s="15" t="s">
        <v>301</v>
      </c>
    </row>
    <row r="100" spans="1:9" x14ac:dyDescent="0.25">
      <c r="A100" s="15" t="s">
        <v>304</v>
      </c>
      <c r="B100" s="15" t="s">
        <v>305</v>
      </c>
      <c r="C100" s="15" t="s">
        <v>306</v>
      </c>
      <c r="D100" s="15" t="s">
        <v>305</v>
      </c>
      <c r="E100" s="15" t="s">
        <v>305</v>
      </c>
      <c r="F100" s="15" t="s">
        <v>305</v>
      </c>
      <c r="G100" s="15" t="s">
        <v>305</v>
      </c>
      <c r="H100" s="15" t="s">
        <v>305</v>
      </c>
      <c r="I100" s="15" t="s">
        <v>305</v>
      </c>
    </row>
    <row r="101" spans="1:9" x14ac:dyDescent="0.25">
      <c r="A101" s="15" t="s">
        <v>307</v>
      </c>
      <c r="B101" s="15" t="s">
        <v>308</v>
      </c>
      <c r="C101" s="15" t="s">
        <v>309</v>
      </c>
      <c r="D101" s="15" t="s">
        <v>308</v>
      </c>
      <c r="E101" s="15" t="s">
        <v>308</v>
      </c>
      <c r="F101" s="15" t="s">
        <v>308</v>
      </c>
      <c r="G101" s="15" t="s">
        <v>308</v>
      </c>
      <c r="H101" s="15" t="s">
        <v>308</v>
      </c>
      <c r="I101" s="15" t="s">
        <v>308</v>
      </c>
    </row>
    <row r="102" spans="1:9" x14ac:dyDescent="0.25">
      <c r="A102" s="15" t="s">
        <v>310</v>
      </c>
      <c r="B102" s="15" t="s">
        <v>311</v>
      </c>
      <c r="C102" s="15" t="s">
        <v>312</v>
      </c>
      <c r="D102" s="15" t="s">
        <v>311</v>
      </c>
      <c r="E102" s="15" t="s">
        <v>311</v>
      </c>
      <c r="F102" s="15" t="s">
        <v>311</v>
      </c>
      <c r="G102" s="15" t="s">
        <v>311</v>
      </c>
      <c r="H102" s="15" t="s">
        <v>311</v>
      </c>
      <c r="I102" s="15" t="s">
        <v>311</v>
      </c>
    </row>
    <row r="103" spans="1:9" x14ac:dyDescent="0.25">
      <c r="A103" s="15" t="s">
        <v>313</v>
      </c>
      <c r="B103" s="15" t="s">
        <v>314</v>
      </c>
      <c r="C103" s="15" t="s">
        <v>315</v>
      </c>
      <c r="D103" s="15" t="s">
        <v>316</v>
      </c>
      <c r="E103" s="15" t="s">
        <v>314</v>
      </c>
      <c r="F103" s="15" t="s">
        <v>314</v>
      </c>
      <c r="G103" s="15" t="s">
        <v>314</v>
      </c>
      <c r="H103" s="15" t="s">
        <v>314</v>
      </c>
      <c r="I103" s="15" t="s">
        <v>314</v>
      </c>
    </row>
    <row r="104" spans="1:9" x14ac:dyDescent="0.25">
      <c r="A104" s="15" t="s">
        <v>317</v>
      </c>
      <c r="B104" s="15" t="s">
        <v>318</v>
      </c>
      <c r="C104" s="15" t="s">
        <v>319</v>
      </c>
      <c r="D104" s="15" t="s">
        <v>320</v>
      </c>
      <c r="E104" s="15" t="s">
        <v>318</v>
      </c>
      <c r="F104" s="15" t="s">
        <v>318</v>
      </c>
      <c r="G104" s="15" t="s">
        <v>318</v>
      </c>
      <c r="H104" s="15" t="s">
        <v>318</v>
      </c>
      <c r="I104" s="15" t="s">
        <v>318</v>
      </c>
    </row>
    <row r="105" spans="1:9" x14ac:dyDescent="0.25">
      <c r="A105" s="15" t="s">
        <v>321</v>
      </c>
      <c r="B105" s="15" t="s">
        <v>322</v>
      </c>
      <c r="C105" s="15" t="s">
        <v>323</v>
      </c>
      <c r="D105" s="15" t="s">
        <v>322</v>
      </c>
      <c r="E105" s="15" t="s">
        <v>322</v>
      </c>
      <c r="F105" s="15" t="s">
        <v>322</v>
      </c>
      <c r="G105" s="15" t="s">
        <v>322</v>
      </c>
      <c r="H105" s="15" t="s">
        <v>322</v>
      </c>
      <c r="I105" s="15" t="s">
        <v>322</v>
      </c>
    </row>
    <row r="106" spans="1:9" x14ac:dyDescent="0.25">
      <c r="A106" s="15" t="s">
        <v>514</v>
      </c>
      <c r="B106" s="15" t="s">
        <v>515</v>
      </c>
      <c r="C106" s="15" t="s">
        <v>516</v>
      </c>
      <c r="D106" s="15" t="s">
        <v>514</v>
      </c>
      <c r="E106" s="15" t="s">
        <v>514</v>
      </c>
      <c r="F106" s="15" t="s">
        <v>514</v>
      </c>
      <c r="G106" s="15" t="s">
        <v>514</v>
      </c>
      <c r="H106" s="15" t="s">
        <v>514</v>
      </c>
      <c r="I106" s="15" t="s">
        <v>514</v>
      </c>
    </row>
    <row r="107" spans="1:9" x14ac:dyDescent="0.25">
      <c r="A107" s="15" t="s">
        <v>508</v>
      </c>
      <c r="B107" s="15" t="s">
        <v>509</v>
      </c>
      <c r="C107" s="15" t="s">
        <v>510</v>
      </c>
      <c r="D107" s="15" t="s">
        <v>508</v>
      </c>
      <c r="E107" s="15" t="s">
        <v>508</v>
      </c>
      <c r="F107" s="15" t="s">
        <v>508</v>
      </c>
      <c r="G107" s="15" t="s">
        <v>508</v>
      </c>
      <c r="H107" s="15" t="s">
        <v>508</v>
      </c>
      <c r="I107" s="15" t="s">
        <v>508</v>
      </c>
    </row>
    <row r="108" spans="1:9" x14ac:dyDescent="0.25">
      <c r="A108" s="15" t="s">
        <v>324</v>
      </c>
      <c r="B108" s="15" t="s">
        <v>325</v>
      </c>
      <c r="C108" s="15" t="s">
        <v>326</v>
      </c>
      <c r="D108" s="15" t="s">
        <v>325</v>
      </c>
      <c r="E108" s="15" t="s">
        <v>325</v>
      </c>
      <c r="F108" s="15" t="s">
        <v>325</v>
      </c>
      <c r="G108" s="15" t="s">
        <v>325</v>
      </c>
      <c r="H108" s="15" t="s">
        <v>325</v>
      </c>
      <c r="I108" s="15" t="s">
        <v>325</v>
      </c>
    </row>
    <row r="109" spans="1:9" x14ac:dyDescent="0.25">
      <c r="A109" s="15" t="s">
        <v>327</v>
      </c>
      <c r="B109" s="15" t="s">
        <v>328</v>
      </c>
      <c r="C109" s="15" t="s">
        <v>328</v>
      </c>
      <c r="D109" s="15" t="s">
        <v>328</v>
      </c>
      <c r="E109" s="15" t="s">
        <v>328</v>
      </c>
      <c r="F109" s="15" t="s">
        <v>328</v>
      </c>
      <c r="G109" s="15" t="s">
        <v>328</v>
      </c>
      <c r="H109" s="15" t="s">
        <v>328</v>
      </c>
      <c r="I109" s="15" t="s">
        <v>328</v>
      </c>
    </row>
    <row r="110" spans="1:9" x14ac:dyDescent="0.25">
      <c r="A110" s="15" t="s">
        <v>327</v>
      </c>
      <c r="B110" s="15" t="s">
        <v>328</v>
      </c>
      <c r="C110" s="15" t="s">
        <v>328</v>
      </c>
      <c r="D110" s="15" t="s">
        <v>328</v>
      </c>
      <c r="E110" s="15" t="s">
        <v>328</v>
      </c>
      <c r="F110" s="15" t="s">
        <v>328</v>
      </c>
      <c r="G110" s="15" t="s">
        <v>328</v>
      </c>
      <c r="H110" s="15" t="s">
        <v>328</v>
      </c>
      <c r="I110" s="15" t="s">
        <v>328</v>
      </c>
    </row>
    <row r="111" spans="1:9" x14ac:dyDescent="0.25">
      <c r="A111" s="15" t="s">
        <v>329</v>
      </c>
      <c r="B111" s="15" t="s">
        <v>330</v>
      </c>
      <c r="C111" s="15" t="s">
        <v>331</v>
      </c>
      <c r="D111" s="15" t="s">
        <v>332</v>
      </c>
      <c r="E111" s="15" t="s">
        <v>330</v>
      </c>
      <c r="F111" s="15" t="s">
        <v>330</v>
      </c>
      <c r="G111" s="15" t="s">
        <v>330</v>
      </c>
      <c r="H111" s="15" t="s">
        <v>330</v>
      </c>
      <c r="I111" s="15" t="s">
        <v>330</v>
      </c>
    </row>
    <row r="112" spans="1:9" x14ac:dyDescent="0.25">
      <c r="A112" s="15" t="s">
        <v>333</v>
      </c>
      <c r="B112" s="15" t="s">
        <v>334</v>
      </c>
      <c r="C112" s="15" t="s">
        <v>334</v>
      </c>
      <c r="D112" s="15" t="s">
        <v>334</v>
      </c>
      <c r="E112" s="15" t="s">
        <v>334</v>
      </c>
      <c r="F112" s="15" t="s">
        <v>334</v>
      </c>
      <c r="G112" s="15" t="s">
        <v>334</v>
      </c>
      <c r="H112" s="15" t="s">
        <v>334</v>
      </c>
      <c r="I112" s="15" t="s">
        <v>334</v>
      </c>
    </row>
    <row r="113" spans="1:9" x14ac:dyDescent="0.25">
      <c r="A113" s="15" t="s">
        <v>335</v>
      </c>
      <c r="B113" s="15" t="s">
        <v>336</v>
      </c>
      <c r="C113" s="15" t="s">
        <v>336</v>
      </c>
      <c r="D113" s="15" t="s">
        <v>337</v>
      </c>
      <c r="E113" s="15" t="s">
        <v>336</v>
      </c>
      <c r="F113" s="15" t="s">
        <v>336</v>
      </c>
      <c r="G113" s="15" t="s">
        <v>336</v>
      </c>
      <c r="H113" s="15" t="s">
        <v>336</v>
      </c>
      <c r="I113" s="15" t="s">
        <v>336</v>
      </c>
    </row>
    <row r="114" spans="1:9" x14ac:dyDescent="0.25">
      <c r="A114" s="15" t="s">
        <v>338</v>
      </c>
      <c r="B114" s="15" t="s">
        <v>339</v>
      </c>
      <c r="C114" s="15" t="s">
        <v>340</v>
      </c>
      <c r="D114" s="15" t="s">
        <v>339</v>
      </c>
      <c r="E114" s="15" t="s">
        <v>339</v>
      </c>
      <c r="F114" s="15" t="s">
        <v>339</v>
      </c>
      <c r="G114" s="15" t="s">
        <v>339</v>
      </c>
      <c r="H114" s="15" t="s">
        <v>339</v>
      </c>
      <c r="I114" s="15" t="s">
        <v>339</v>
      </c>
    </row>
    <row r="115" spans="1:9" x14ac:dyDescent="0.25">
      <c r="A115" s="15" t="s">
        <v>358</v>
      </c>
      <c r="B115" s="15" t="s">
        <v>13</v>
      </c>
      <c r="C115" s="15" t="s">
        <v>13</v>
      </c>
      <c r="D115" s="15" t="s">
        <v>13</v>
      </c>
      <c r="E115" s="15" t="s">
        <v>13</v>
      </c>
      <c r="F115" s="15" t="s">
        <v>13</v>
      </c>
      <c r="G115" s="15" t="s">
        <v>13</v>
      </c>
      <c r="H115" s="15" t="s">
        <v>13</v>
      </c>
      <c r="I115" s="15" t="s">
        <v>13</v>
      </c>
    </row>
    <row r="116" spans="1:9" x14ac:dyDescent="0.25">
      <c r="A116" s="15" t="s">
        <v>341</v>
      </c>
      <c r="B116" s="15" t="s">
        <v>16</v>
      </c>
      <c r="C116" s="15" t="s">
        <v>16</v>
      </c>
      <c r="D116" s="15" t="s">
        <v>16</v>
      </c>
      <c r="E116" s="15" t="s">
        <v>16</v>
      </c>
      <c r="F116" s="15" t="s">
        <v>16</v>
      </c>
      <c r="G116" s="15" t="s">
        <v>16</v>
      </c>
      <c r="H116" s="15" t="s">
        <v>16</v>
      </c>
      <c r="I116" s="15" t="s">
        <v>16</v>
      </c>
    </row>
    <row r="117" spans="1:9" x14ac:dyDescent="0.25">
      <c r="A117" s="15" t="s">
        <v>352</v>
      </c>
      <c r="B117" s="15" t="s">
        <v>353</v>
      </c>
      <c r="C117" s="15" t="s">
        <v>354</v>
      </c>
      <c r="D117" s="15" t="s">
        <v>353</v>
      </c>
      <c r="E117" s="15" t="s">
        <v>353</v>
      </c>
      <c r="F117" s="15" t="s">
        <v>353</v>
      </c>
      <c r="G117" s="15" t="s">
        <v>353</v>
      </c>
      <c r="H117" s="15" t="s">
        <v>353</v>
      </c>
      <c r="I117" s="15" t="s">
        <v>353</v>
      </c>
    </row>
    <row r="118" spans="1:9" x14ac:dyDescent="0.25">
      <c r="A118" s="15" t="s">
        <v>342</v>
      </c>
      <c r="B118" s="15" t="s">
        <v>343</v>
      </c>
      <c r="C118" s="15" t="s">
        <v>344</v>
      </c>
      <c r="D118" s="15" t="s">
        <v>343</v>
      </c>
      <c r="E118" s="15" t="s">
        <v>343</v>
      </c>
      <c r="F118" s="15" t="s">
        <v>343</v>
      </c>
      <c r="G118" s="15" t="s">
        <v>343</v>
      </c>
      <c r="H118" s="15" t="s">
        <v>343</v>
      </c>
      <c r="I118" s="15" t="s">
        <v>343</v>
      </c>
    </row>
    <row r="119" spans="1:9" x14ac:dyDescent="0.25">
      <c r="A119" s="15" t="s">
        <v>342</v>
      </c>
      <c r="B119" s="15" t="s">
        <v>343</v>
      </c>
      <c r="C119" s="15" t="s">
        <v>344</v>
      </c>
      <c r="D119" s="15" t="s">
        <v>343</v>
      </c>
      <c r="E119" s="15" t="s">
        <v>343</v>
      </c>
      <c r="F119" s="15" t="s">
        <v>343</v>
      </c>
      <c r="G119" s="15" t="s">
        <v>343</v>
      </c>
      <c r="H119" s="15" t="s">
        <v>343</v>
      </c>
      <c r="I119" s="15" t="s">
        <v>343</v>
      </c>
    </row>
    <row r="120" spans="1:9" x14ac:dyDescent="0.25">
      <c r="A120" s="15" t="s">
        <v>355</v>
      </c>
      <c r="B120" s="15" t="s">
        <v>356</v>
      </c>
      <c r="C120" s="15" t="s">
        <v>357</v>
      </c>
      <c r="D120" s="15" t="s">
        <v>356</v>
      </c>
      <c r="E120" s="15" t="s">
        <v>356</v>
      </c>
      <c r="F120" s="15" t="s">
        <v>356</v>
      </c>
      <c r="G120" s="15" t="s">
        <v>356</v>
      </c>
      <c r="H120" s="15" t="s">
        <v>356</v>
      </c>
      <c r="I120" s="15" t="s">
        <v>356</v>
      </c>
    </row>
    <row r="121" spans="1:9" x14ac:dyDescent="0.25">
      <c r="A121" s="15" t="s">
        <v>345</v>
      </c>
      <c r="B121" s="15" t="s">
        <v>346</v>
      </c>
      <c r="C121" s="15" t="s">
        <v>347</v>
      </c>
      <c r="D121" s="15" t="s">
        <v>346</v>
      </c>
      <c r="E121" s="15" t="s">
        <v>346</v>
      </c>
      <c r="F121" s="15" t="s">
        <v>346</v>
      </c>
      <c r="G121" s="15" t="s">
        <v>346</v>
      </c>
      <c r="H121" s="15" t="s">
        <v>346</v>
      </c>
      <c r="I121" s="15" t="s">
        <v>346</v>
      </c>
    </row>
    <row r="122" spans="1:9" x14ac:dyDescent="0.25">
      <c r="A122" s="15" t="s">
        <v>348</v>
      </c>
      <c r="B122" s="15" t="s">
        <v>348</v>
      </c>
      <c r="C122" s="15" t="s">
        <v>348</v>
      </c>
      <c r="D122" s="15" t="s">
        <v>348</v>
      </c>
      <c r="E122" s="15" t="s">
        <v>348</v>
      </c>
      <c r="F122" s="15" t="s">
        <v>348</v>
      </c>
      <c r="G122" s="15" t="s">
        <v>348</v>
      </c>
      <c r="H122" s="15" t="s">
        <v>348</v>
      </c>
      <c r="I122" s="15" t="s">
        <v>348</v>
      </c>
    </row>
    <row r="123" spans="1:9" x14ac:dyDescent="0.25">
      <c r="A123" s="15" t="s">
        <v>511</v>
      </c>
      <c r="B123" s="15" t="s">
        <v>512</v>
      </c>
      <c r="C123" s="15" t="s">
        <v>513</v>
      </c>
      <c r="D123" s="15" t="s">
        <v>511</v>
      </c>
      <c r="E123" s="15" t="s">
        <v>511</v>
      </c>
      <c r="F123" s="15" t="s">
        <v>511</v>
      </c>
      <c r="G123" s="15" t="s">
        <v>511</v>
      </c>
      <c r="H123" s="15" t="s">
        <v>511</v>
      </c>
      <c r="I123" s="15" t="s">
        <v>511</v>
      </c>
    </row>
    <row r="124" spans="1:9" x14ac:dyDescent="0.25">
      <c r="A124" s="15" t="s">
        <v>422</v>
      </c>
      <c r="B124" s="15" t="s">
        <v>422</v>
      </c>
      <c r="C124" s="15" t="s">
        <v>422</v>
      </c>
      <c r="D124" s="15" t="s">
        <v>422</v>
      </c>
      <c r="E124" s="15" t="s">
        <v>422</v>
      </c>
      <c r="F124" s="15" t="s">
        <v>422</v>
      </c>
      <c r="G124" s="15" t="s">
        <v>422</v>
      </c>
      <c r="H124" s="15" t="s">
        <v>422</v>
      </c>
      <c r="I124" s="15" t="s">
        <v>422</v>
      </c>
    </row>
    <row r="125" spans="1:9" x14ac:dyDescent="0.25">
      <c r="A125" s="15" t="s">
        <v>419</v>
      </c>
      <c r="B125" s="15" t="s">
        <v>420</v>
      </c>
      <c r="C125" s="15" t="s">
        <v>421</v>
      </c>
      <c r="D125" s="15" t="s">
        <v>420</v>
      </c>
      <c r="E125" s="15" t="s">
        <v>420</v>
      </c>
      <c r="F125" s="15" t="s">
        <v>420</v>
      </c>
      <c r="G125" s="15" t="s">
        <v>420</v>
      </c>
      <c r="H125" s="15" t="s">
        <v>420</v>
      </c>
      <c r="I125" s="15" t="s">
        <v>420</v>
      </c>
    </row>
    <row r="126" spans="1:9" x14ac:dyDescent="0.25">
      <c r="A126" s="15" t="s">
        <v>362</v>
      </c>
      <c r="B126" s="15" t="s">
        <v>363</v>
      </c>
      <c r="C126" s="15" t="s">
        <v>364</v>
      </c>
      <c r="D126" s="15" t="s">
        <v>363</v>
      </c>
      <c r="E126" s="15" t="s">
        <v>363</v>
      </c>
      <c r="F126" s="15" t="s">
        <v>363</v>
      </c>
      <c r="G126" s="15" t="s">
        <v>363</v>
      </c>
      <c r="H126" s="15" t="s">
        <v>363</v>
      </c>
      <c r="I126" s="15" t="s">
        <v>363</v>
      </c>
    </row>
  </sheetData>
  <autoFilter ref="A1:I1" xr:uid="{4EBE83A8-D7B2-488E-84F9-9CFCB2A47FEF}">
    <sortState xmlns:xlrd2="http://schemas.microsoft.com/office/spreadsheetml/2017/richdata2" ref="A2:I126">
      <sortCondition ref="A1"/>
    </sortState>
  </autoFilter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64"/>
  <sheetViews>
    <sheetView zoomScale="85" zoomScaleNormal="85" workbookViewId="0">
      <pane xSplit="6" ySplit="3" topLeftCell="G40" activePane="bottomRight" state="frozen"/>
      <selection pane="topRight" activeCell="G1" sqref="G1"/>
      <selection pane="bottomLeft" activeCell="A4" sqref="A4"/>
      <selection pane="bottomRight" activeCell="BG3" sqref="BG3:BK3"/>
    </sheetView>
  </sheetViews>
  <sheetFormatPr defaultRowHeight="15" x14ac:dyDescent="0.25"/>
  <cols>
    <col min="1" max="1" width="6.28515625" style="1" customWidth="1"/>
    <col min="2" max="2" width="9.85546875" style="1" bestFit="1" customWidth="1"/>
    <col min="3" max="3" width="50" style="61" bestFit="1" customWidth="1"/>
    <col min="4" max="4" width="8.42578125" style="39" bestFit="1" customWidth="1"/>
    <col min="5" max="5" width="12.28515625" style="39" bestFit="1" customWidth="1"/>
    <col min="6" max="6" width="10.28515625" style="2" customWidth="1"/>
    <col min="7" max="7" width="10" style="8" customWidth="1"/>
    <col min="8" max="8" width="11.28515625" style="10" bestFit="1" customWidth="1"/>
    <col min="9" max="9" width="11.28515625" style="24" bestFit="1" customWidth="1"/>
    <col min="10" max="14" width="8.28515625" style="31" customWidth="1"/>
    <col min="15" max="15" width="8.28515625" style="4" customWidth="1"/>
    <col min="16" max="16" width="8.28515625" style="31" customWidth="1"/>
    <col min="17" max="20" width="8.28515625" style="4" customWidth="1"/>
    <col min="21" max="21" width="8.28515625" style="31" customWidth="1"/>
    <col min="22" max="22" width="8.28515625" style="4" customWidth="1"/>
    <col min="23" max="27" width="8.28515625" style="3" customWidth="1"/>
    <col min="28" max="35" width="9.42578125" style="4" customWidth="1"/>
    <col min="36" max="44" width="9.42578125" style="3" customWidth="1"/>
    <col min="45" max="52" width="9.42578125" style="4" customWidth="1"/>
    <col min="53" max="56" width="14.85546875" style="21" customWidth="1"/>
    <col min="57" max="58" width="9.140625" style="1"/>
    <col min="59" max="63" width="10" style="3" customWidth="1"/>
    <col min="64" max="16384" width="9.140625" style="1"/>
  </cols>
  <sheetData>
    <row r="1" spans="1:63" s="5" customFormat="1" ht="30" customHeight="1" x14ac:dyDescent="0.25">
      <c r="D1" s="37"/>
      <c r="E1" s="37"/>
      <c r="G1" s="7" t="s">
        <v>2</v>
      </c>
      <c r="H1" s="11" t="s">
        <v>359</v>
      </c>
      <c r="I1" s="23" t="s">
        <v>20</v>
      </c>
      <c r="J1" s="171" t="s">
        <v>360</v>
      </c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3"/>
      <c r="W1" s="180" t="s">
        <v>391</v>
      </c>
      <c r="X1" s="181"/>
      <c r="Y1" s="181"/>
      <c r="Z1" s="181"/>
      <c r="AA1" s="182"/>
      <c r="AB1" s="172" t="s">
        <v>405</v>
      </c>
      <c r="AC1" s="172"/>
      <c r="AD1" s="172"/>
      <c r="AE1" s="172"/>
      <c r="AF1" s="172"/>
      <c r="AG1" s="172"/>
      <c r="AH1" s="172"/>
      <c r="AI1" s="172"/>
      <c r="AJ1" s="183" t="s">
        <v>406</v>
      </c>
      <c r="AK1" s="183"/>
      <c r="AL1" s="183"/>
      <c r="AM1" s="183"/>
      <c r="AN1" s="183"/>
      <c r="AO1" s="183"/>
      <c r="AP1" s="183"/>
      <c r="AQ1" s="183"/>
      <c r="AR1" s="183"/>
      <c r="AS1" s="171" t="s">
        <v>7</v>
      </c>
      <c r="AT1" s="172"/>
      <c r="AU1" s="172"/>
      <c r="AV1" s="172"/>
      <c r="AW1" s="172"/>
      <c r="AX1" s="172"/>
      <c r="AY1" s="172"/>
      <c r="AZ1" s="173"/>
      <c r="BA1" s="180" t="s">
        <v>383</v>
      </c>
      <c r="BB1" s="181"/>
      <c r="BC1" s="181"/>
      <c r="BD1" s="182"/>
      <c r="BE1" s="169" t="s">
        <v>387</v>
      </c>
      <c r="BF1" s="170"/>
      <c r="BG1" s="180" t="s">
        <v>416</v>
      </c>
      <c r="BH1" s="181"/>
      <c r="BI1" s="181"/>
      <c r="BJ1" s="181"/>
      <c r="BK1" s="182"/>
    </row>
    <row r="2" spans="1:63" s="29" customFormat="1" ht="45.75" thickBot="1" x14ac:dyDescent="0.3">
      <c r="A2" s="5" t="s">
        <v>1</v>
      </c>
      <c r="B2" s="5" t="s">
        <v>19</v>
      </c>
      <c r="C2" s="9" t="s">
        <v>0</v>
      </c>
      <c r="D2" s="38" t="s">
        <v>8</v>
      </c>
      <c r="E2" s="38" t="s">
        <v>3</v>
      </c>
      <c r="F2" s="6" t="s">
        <v>4</v>
      </c>
      <c r="G2" s="25"/>
      <c r="H2" s="27" t="s">
        <v>21</v>
      </c>
      <c r="I2" s="26" t="s">
        <v>21</v>
      </c>
      <c r="J2" s="28" t="s">
        <v>367</v>
      </c>
      <c r="K2" s="28" t="s">
        <v>368</v>
      </c>
      <c r="L2" s="28" t="s">
        <v>369</v>
      </c>
      <c r="M2" s="28" t="s">
        <v>370</v>
      </c>
      <c r="N2" s="28" t="s">
        <v>371</v>
      </c>
      <c r="O2" s="28" t="s">
        <v>372</v>
      </c>
      <c r="P2" s="28" t="s">
        <v>373</v>
      </c>
      <c r="Q2" s="28" t="s">
        <v>374</v>
      </c>
      <c r="R2" s="28" t="s">
        <v>375</v>
      </c>
      <c r="S2" s="28" t="s">
        <v>376</v>
      </c>
      <c r="T2" s="28" t="s">
        <v>379</v>
      </c>
      <c r="U2" s="28" t="s">
        <v>378</v>
      </c>
      <c r="V2" s="28" t="s">
        <v>366</v>
      </c>
      <c r="W2" s="46" t="s">
        <v>392</v>
      </c>
      <c r="X2" s="46" t="s">
        <v>393</v>
      </c>
      <c r="Y2" s="46" t="s">
        <v>394</v>
      </c>
      <c r="Z2" s="46" t="s">
        <v>389</v>
      </c>
      <c r="AA2" s="46" t="s">
        <v>390</v>
      </c>
      <c r="AB2" s="28" t="s">
        <v>396</v>
      </c>
      <c r="AC2" s="28" t="s">
        <v>398</v>
      </c>
      <c r="AD2" s="28" t="s">
        <v>395</v>
      </c>
      <c r="AE2" s="28" t="s">
        <v>397</v>
      </c>
      <c r="AF2" s="28" t="s">
        <v>399</v>
      </c>
      <c r="AG2" s="28" t="s">
        <v>400</v>
      </c>
      <c r="AH2" s="28" t="s">
        <v>401</v>
      </c>
      <c r="AI2" s="28" t="s">
        <v>402</v>
      </c>
      <c r="AJ2" s="46" t="s">
        <v>403</v>
      </c>
      <c r="AK2" s="46" t="s">
        <v>396</v>
      </c>
      <c r="AL2" s="46" t="s">
        <v>398</v>
      </c>
      <c r="AM2" s="46" t="s">
        <v>395</v>
      </c>
      <c r="AN2" s="46" t="s">
        <v>397</v>
      </c>
      <c r="AO2" s="46" t="s">
        <v>399</v>
      </c>
      <c r="AP2" s="46" t="s">
        <v>400</v>
      </c>
      <c r="AQ2" s="46" t="s">
        <v>401</v>
      </c>
      <c r="AR2" s="46" t="s">
        <v>402</v>
      </c>
      <c r="AS2" s="28" t="s">
        <v>31</v>
      </c>
      <c r="AT2" s="28" t="s">
        <v>32</v>
      </c>
      <c r="AU2" s="28" t="s">
        <v>33</v>
      </c>
      <c r="AV2" s="28" t="s">
        <v>34</v>
      </c>
      <c r="AW2" s="28" t="s">
        <v>35</v>
      </c>
      <c r="AX2" s="28" t="s">
        <v>36</v>
      </c>
      <c r="AY2" s="28" t="s">
        <v>37</v>
      </c>
      <c r="AZ2" s="28" t="s">
        <v>361</v>
      </c>
      <c r="BA2" s="46" t="s">
        <v>384</v>
      </c>
      <c r="BB2" s="46" t="s">
        <v>385</v>
      </c>
      <c r="BC2" s="46" t="s">
        <v>386</v>
      </c>
      <c r="BD2" s="46" t="s">
        <v>442</v>
      </c>
      <c r="BE2" s="29" t="b">
        <v>1</v>
      </c>
      <c r="BF2" s="29" t="b">
        <v>0</v>
      </c>
      <c r="BG2" s="46" t="s">
        <v>403</v>
      </c>
      <c r="BH2" s="46" t="s">
        <v>425</v>
      </c>
      <c r="BI2" s="46" t="s">
        <v>426</v>
      </c>
      <c r="BJ2" s="46" t="s">
        <v>423</v>
      </c>
      <c r="BK2" s="46" t="s">
        <v>424</v>
      </c>
    </row>
    <row r="3" spans="1:63" s="34" customFormat="1" ht="15.75" thickBot="1" x14ac:dyDescent="0.3">
      <c r="A3" s="166" t="s">
        <v>6</v>
      </c>
      <c r="B3" s="167"/>
      <c r="C3" s="167"/>
      <c r="D3" s="167"/>
      <c r="E3" s="167"/>
      <c r="F3" s="168"/>
      <c r="G3" s="30"/>
      <c r="H3" s="33" t="s">
        <v>21</v>
      </c>
      <c r="I3" s="32" t="s">
        <v>21</v>
      </c>
      <c r="J3" s="174" t="str">
        <f>Model</f>
        <v>GT8710</v>
      </c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6"/>
      <c r="W3" s="177" t="str">
        <f>Application</f>
        <v>Single</v>
      </c>
      <c r="X3" s="178"/>
      <c r="Y3" s="178"/>
      <c r="Z3" s="178"/>
      <c r="AA3" s="179"/>
      <c r="AB3" s="175" t="str">
        <f>LHPanel</f>
        <v>LH Outswing</v>
      </c>
      <c r="AC3" s="175"/>
      <c r="AD3" s="175"/>
      <c r="AE3" s="175"/>
      <c r="AF3" s="175"/>
      <c r="AG3" s="175"/>
      <c r="AH3" s="175"/>
      <c r="AI3" s="175"/>
      <c r="AJ3" s="177" t="str">
        <f>RHPanel</f>
        <v>None</v>
      </c>
      <c r="AK3" s="178"/>
      <c r="AL3" s="178"/>
      <c r="AM3" s="178"/>
      <c r="AN3" s="178"/>
      <c r="AO3" s="178"/>
      <c r="AP3" s="178"/>
      <c r="AQ3" s="178"/>
      <c r="AR3" s="179"/>
      <c r="AS3" s="174" t="str">
        <f>Finish</f>
        <v>Clear (204)</v>
      </c>
      <c r="AT3" s="175"/>
      <c r="AU3" s="175"/>
      <c r="AV3" s="175"/>
      <c r="AW3" s="175"/>
      <c r="AX3" s="175"/>
      <c r="AY3" s="175"/>
      <c r="AZ3" s="176"/>
      <c r="BA3" s="186" t="str">
        <f>Pivot</f>
        <v>Butt Hinge/Offset Pivot</v>
      </c>
      <c r="BB3" s="187"/>
      <c r="BC3" s="187"/>
      <c r="BD3" s="188"/>
      <c r="BE3" s="184" t="b">
        <f>Panic</f>
        <v>0</v>
      </c>
      <c r="BF3" s="185"/>
      <c r="BG3" s="177" t="str">
        <f>MtgBracket</f>
        <v>None</v>
      </c>
      <c r="BH3" s="178"/>
      <c r="BI3" s="178"/>
      <c r="BJ3" s="178"/>
      <c r="BK3" s="179"/>
    </row>
    <row r="4" spans="1:63" x14ac:dyDescent="0.25">
      <c r="A4" s="1" t="s">
        <v>409</v>
      </c>
      <c r="B4" s="47" t="s">
        <v>407</v>
      </c>
      <c r="C4" s="160" t="s">
        <v>410</v>
      </c>
      <c r="F4" s="49">
        <f>HeaderLength-0.25</f>
        <v>-0.25</v>
      </c>
      <c r="G4" s="8">
        <v>1</v>
      </c>
      <c r="H4" s="10" t="s">
        <v>437</v>
      </c>
      <c r="J4" s="31" t="s">
        <v>418</v>
      </c>
      <c r="K4" s="48" t="str">
        <f>Color("M-00884")&amp;IF(F4=39.25,"-39.25","")</f>
        <v>M-60884</v>
      </c>
      <c r="L4" s="31" t="s">
        <v>418</v>
      </c>
      <c r="M4" s="48" t="str">
        <f>Color("M-00884")&amp;IF(F4=39.25,"-39.25","")</f>
        <v>M-60884</v>
      </c>
      <c r="N4" s="31" t="s">
        <v>418</v>
      </c>
      <c r="O4" s="48" t="str">
        <f>Color("M-00884")&amp;IF(F4=39.25,"-39.25","")</f>
        <v>M-60884</v>
      </c>
      <c r="P4" s="31" t="s">
        <v>418</v>
      </c>
      <c r="Q4" s="48" t="str">
        <f>Color("M-00884")&amp;IF(F4=39.25,"-39.25","")</f>
        <v>M-60884</v>
      </c>
      <c r="R4" s="4" t="s">
        <v>418</v>
      </c>
      <c r="S4" s="48" t="str">
        <f>Color("M-00923")&amp;IF(F4=39.25,"-39.25","")</f>
        <v>M-60923</v>
      </c>
      <c r="T4" s="48" t="str">
        <f>Color("M-00884")&amp;IF(F4=39.25,"-39.25","")</f>
        <v>M-60884</v>
      </c>
      <c r="U4" s="48" t="str">
        <f>Color("M-00884")&amp;IF(F4=39.25,"-39.25","")</f>
        <v>M-60884</v>
      </c>
      <c r="V4" s="48" t="str">
        <f>Color("M-01503")</f>
        <v>M-01503</v>
      </c>
    </row>
    <row r="5" spans="1:63" x14ac:dyDescent="0.25">
      <c r="A5" s="1" t="s">
        <v>409</v>
      </c>
      <c r="B5" s="47" t="s">
        <v>407</v>
      </c>
      <c r="C5" s="160" t="s">
        <v>411</v>
      </c>
      <c r="F5" s="49">
        <f>HeaderLength-0.3125</f>
        <v>-0.3125</v>
      </c>
      <c r="G5" s="8">
        <v>1</v>
      </c>
      <c r="H5" s="10" t="s">
        <v>437</v>
      </c>
      <c r="J5" s="31" t="s">
        <v>418</v>
      </c>
      <c r="K5" s="48" t="str">
        <f>Color("M-00885")&amp;IF(F5=39.1875,"-39.188","")</f>
        <v>M-60885</v>
      </c>
      <c r="L5" s="31" t="s">
        <v>418</v>
      </c>
      <c r="M5" s="48" t="str">
        <f>Color("M-00885")&amp;IF(F5=39.1875,"-39.188","")</f>
        <v>M-60885</v>
      </c>
      <c r="N5" s="31" t="s">
        <v>418</v>
      </c>
      <c r="O5" s="48" t="str">
        <f>Color("M-00885")&amp;IF(F5=39.1875,"-39.188","")</f>
        <v>M-60885</v>
      </c>
      <c r="P5" s="31" t="s">
        <v>418</v>
      </c>
      <c r="Q5" s="48" t="str">
        <f>Color("M-00885")&amp;IF(F5=39.1875,"-39.188","")</f>
        <v>M-60885</v>
      </c>
      <c r="R5" s="4" t="s">
        <v>418</v>
      </c>
      <c r="S5" s="48" t="str">
        <f>Color("M-00924")&amp;IF(F5=39.1875,"-39.188","")</f>
        <v>M-60924</v>
      </c>
      <c r="T5" s="48" t="str">
        <f>Color("M-00885")&amp;IF(F5=39.1875,"-39.188","")</f>
        <v>M-60885</v>
      </c>
      <c r="U5" s="48" t="str">
        <f>Color("M-00885")&amp;IF(F5=39.1875,"-39.188","")</f>
        <v>M-60885</v>
      </c>
      <c r="V5" s="48" t="str">
        <f>Color("M-01504")</f>
        <v>M-61504</v>
      </c>
    </row>
    <row r="6" spans="1:63" x14ac:dyDescent="0.25">
      <c r="A6" s="1" t="s">
        <v>409</v>
      </c>
      <c r="B6" s="47" t="s">
        <v>407</v>
      </c>
      <c r="C6" s="60" t="s">
        <v>412</v>
      </c>
      <c r="F6" s="49">
        <f>HeaderLength-IF(CUvsOHC="OHC",0.25,3.5)</f>
        <v>-3.5</v>
      </c>
      <c r="G6" s="8">
        <v>1</v>
      </c>
      <c r="H6" s="10" t="s">
        <v>437</v>
      </c>
      <c r="J6" s="1"/>
      <c r="K6" s="31" t="s">
        <v>418</v>
      </c>
      <c r="L6" s="1"/>
      <c r="M6" s="31" t="s">
        <v>418</v>
      </c>
      <c r="N6" s="1"/>
      <c r="O6" s="31" t="s">
        <v>418</v>
      </c>
      <c r="P6" s="1"/>
      <c r="Q6" s="31" t="s">
        <v>418</v>
      </c>
      <c r="R6" s="1"/>
      <c r="S6" s="31" t="s">
        <v>418</v>
      </c>
      <c r="T6" s="31" t="s">
        <v>418</v>
      </c>
      <c r="U6" s="31" t="s">
        <v>418</v>
      </c>
      <c r="V6" s="4" t="s">
        <v>418</v>
      </c>
      <c r="AS6" s="4" t="s">
        <v>293</v>
      </c>
      <c r="AT6" s="4" t="s">
        <v>294</v>
      </c>
      <c r="AU6" s="4" t="s">
        <v>295</v>
      </c>
      <c r="AV6" s="4" t="s">
        <v>293</v>
      </c>
      <c r="AW6" s="4" t="s">
        <v>293</v>
      </c>
      <c r="AX6" s="4" t="s">
        <v>293</v>
      </c>
      <c r="AY6" s="4" t="s">
        <v>293</v>
      </c>
      <c r="AZ6" s="4" t="s">
        <v>293</v>
      </c>
    </row>
    <row r="7" spans="1:63" x14ac:dyDescent="0.25">
      <c r="A7" s="1" t="s">
        <v>409</v>
      </c>
      <c r="B7" s="47" t="s">
        <v>407</v>
      </c>
      <c r="C7" s="60" t="s">
        <v>413</v>
      </c>
      <c r="F7" s="49">
        <f>HeaderLength-IF(CUvsOHC="OHC",0.25,3.5)</f>
        <v>-3.5</v>
      </c>
      <c r="G7" s="8">
        <v>2</v>
      </c>
      <c r="H7" s="10" t="s">
        <v>437</v>
      </c>
      <c r="J7" s="1"/>
      <c r="K7" s="31" t="s">
        <v>418</v>
      </c>
      <c r="L7" s="1"/>
      <c r="M7" s="31" t="s">
        <v>418</v>
      </c>
      <c r="N7" s="1"/>
      <c r="O7" s="31" t="s">
        <v>418</v>
      </c>
      <c r="P7" s="1"/>
      <c r="Q7" s="31" t="s">
        <v>418</v>
      </c>
      <c r="R7" s="1"/>
      <c r="S7" s="31" t="s">
        <v>418</v>
      </c>
      <c r="T7" s="31" t="s">
        <v>418</v>
      </c>
      <c r="U7" s="31" t="s">
        <v>418</v>
      </c>
      <c r="V7" s="4" t="s">
        <v>418</v>
      </c>
      <c r="AS7" s="4" t="s">
        <v>289</v>
      </c>
      <c r="AT7" s="4" t="s">
        <v>290</v>
      </c>
      <c r="AU7" s="4" t="s">
        <v>291</v>
      </c>
      <c r="AV7" s="4" t="s">
        <v>289</v>
      </c>
      <c r="AW7" s="4" t="s">
        <v>289</v>
      </c>
      <c r="AX7" s="4" t="s">
        <v>289</v>
      </c>
      <c r="AY7" s="4" t="s">
        <v>289</v>
      </c>
      <c r="AZ7" s="4" t="s">
        <v>289</v>
      </c>
    </row>
    <row r="8" spans="1:63" x14ac:dyDescent="0.25">
      <c r="A8" s="1" t="s">
        <v>409</v>
      </c>
      <c r="B8" s="47" t="s">
        <v>407</v>
      </c>
      <c r="C8" s="60" t="s">
        <v>414</v>
      </c>
      <c r="F8" s="58">
        <v>1.111</v>
      </c>
      <c r="G8" s="59">
        <v>1</v>
      </c>
      <c r="H8" s="10" t="s">
        <v>437</v>
      </c>
      <c r="J8" s="1"/>
      <c r="K8" s="31" t="s">
        <v>418</v>
      </c>
      <c r="L8" s="1"/>
      <c r="M8" s="31" t="s">
        <v>418</v>
      </c>
      <c r="N8" s="1"/>
      <c r="O8" s="31" t="s">
        <v>418</v>
      </c>
      <c r="P8" s="1"/>
      <c r="Q8" s="31" t="s">
        <v>418</v>
      </c>
      <c r="R8" s="1"/>
      <c r="S8" s="31" t="s">
        <v>418</v>
      </c>
      <c r="T8" s="31" t="s">
        <v>418</v>
      </c>
      <c r="U8" s="31" t="s">
        <v>418</v>
      </c>
      <c r="V8" s="4" t="s">
        <v>418</v>
      </c>
      <c r="AS8" s="4" t="s">
        <v>301</v>
      </c>
      <c r="AT8" s="4" t="s">
        <v>302</v>
      </c>
      <c r="AU8" s="4" t="s">
        <v>303</v>
      </c>
      <c r="AV8" s="4" t="s">
        <v>301</v>
      </c>
      <c r="AW8" s="4" t="s">
        <v>301</v>
      </c>
      <c r="AX8" s="4" t="s">
        <v>301</v>
      </c>
      <c r="AY8" s="4" t="s">
        <v>301</v>
      </c>
      <c r="AZ8" s="4" t="s">
        <v>301</v>
      </c>
    </row>
    <row r="9" spans="1:63" x14ac:dyDescent="0.25">
      <c r="A9" s="1" t="s">
        <v>409</v>
      </c>
      <c r="B9" s="47" t="s">
        <v>407</v>
      </c>
      <c r="C9" s="60" t="s">
        <v>417</v>
      </c>
      <c r="F9" s="49">
        <f>$F$5</f>
        <v>-0.3125</v>
      </c>
      <c r="G9" s="8">
        <v>1</v>
      </c>
      <c r="H9" s="10" t="s">
        <v>437</v>
      </c>
      <c r="J9" s="1" t="s">
        <v>418</v>
      </c>
      <c r="L9" s="31" t="s">
        <v>418</v>
      </c>
      <c r="N9" s="31" t="s">
        <v>418</v>
      </c>
      <c r="P9" s="31" t="s">
        <v>418</v>
      </c>
      <c r="R9" s="4" t="s">
        <v>418</v>
      </c>
      <c r="S9" s="4" t="s">
        <v>418</v>
      </c>
      <c r="T9" s="31"/>
      <c r="V9" s="4" t="s">
        <v>418</v>
      </c>
      <c r="AS9" s="4" t="s">
        <v>263</v>
      </c>
      <c r="AT9" s="4" t="s">
        <v>264</v>
      </c>
      <c r="AU9" s="4" t="s">
        <v>263</v>
      </c>
      <c r="AV9" s="4" t="s">
        <v>263</v>
      </c>
      <c r="AW9" s="4" t="s">
        <v>263</v>
      </c>
      <c r="AX9" s="4" t="s">
        <v>263</v>
      </c>
      <c r="AY9" s="4" t="s">
        <v>263</v>
      </c>
      <c r="AZ9" s="4" t="s">
        <v>263</v>
      </c>
      <c r="BG9" s="3" t="s">
        <v>418</v>
      </c>
      <c r="BH9" s="3" t="s">
        <v>418</v>
      </c>
      <c r="BI9" s="3" t="s">
        <v>418</v>
      </c>
    </row>
    <row r="10" spans="1:63" x14ac:dyDescent="0.25">
      <c r="A10" s="1" t="s">
        <v>409</v>
      </c>
      <c r="B10" s="47" t="s">
        <v>407</v>
      </c>
      <c r="C10" s="160" t="s">
        <v>468</v>
      </c>
      <c r="F10" s="49">
        <f>HeaderLength-39.5</f>
        <v>-39.5</v>
      </c>
      <c r="G10" s="8">
        <v>1</v>
      </c>
      <c r="H10" s="10" t="s">
        <v>437</v>
      </c>
      <c r="I10" s="24" t="s">
        <v>467</v>
      </c>
      <c r="V10" s="4" t="s">
        <v>418</v>
      </c>
      <c r="W10" s="3" t="s">
        <v>418</v>
      </c>
      <c r="AA10" s="3" t="s">
        <v>418</v>
      </c>
    </row>
    <row r="11" spans="1:63" s="146" customFormat="1" x14ac:dyDescent="0.25">
      <c r="A11" s="146" t="s">
        <v>409</v>
      </c>
      <c r="B11" s="147" t="s">
        <v>407</v>
      </c>
      <c r="C11" s="161" t="s">
        <v>469</v>
      </c>
      <c r="D11" s="148"/>
      <c r="E11" s="148"/>
      <c r="F11" s="149">
        <f>HeaderLength-57.5</f>
        <v>-57.5</v>
      </c>
      <c r="G11" s="150">
        <v>1</v>
      </c>
      <c r="H11" s="151" t="s">
        <v>437</v>
      </c>
      <c r="I11" s="152" t="s">
        <v>466</v>
      </c>
      <c r="J11" s="153"/>
      <c r="K11" s="153"/>
      <c r="L11" s="153"/>
      <c r="M11" s="153"/>
      <c r="N11" s="153"/>
      <c r="O11" s="154"/>
      <c r="P11" s="153"/>
      <c r="Q11" s="154"/>
      <c r="R11" s="154"/>
      <c r="S11" s="154"/>
      <c r="T11" s="154"/>
      <c r="U11" s="153"/>
      <c r="V11" s="154" t="s">
        <v>418</v>
      </c>
      <c r="W11" s="155" t="s">
        <v>418</v>
      </c>
      <c r="X11" s="155"/>
      <c r="Y11" s="155"/>
      <c r="Z11" s="3" t="s">
        <v>418</v>
      </c>
      <c r="AA11" s="155" t="s">
        <v>418</v>
      </c>
      <c r="AB11" s="154"/>
      <c r="AC11" s="154"/>
      <c r="AD11" s="154"/>
      <c r="AE11" s="154"/>
      <c r="AF11" s="154"/>
      <c r="AG11" s="154"/>
      <c r="AH11" s="154"/>
      <c r="AI11" s="154"/>
      <c r="AJ11" s="155"/>
      <c r="AK11" s="155"/>
      <c r="AL11" s="155"/>
      <c r="AM11" s="155"/>
      <c r="AN11" s="155"/>
      <c r="AO11" s="155"/>
      <c r="AP11" s="155"/>
      <c r="AQ11" s="155"/>
      <c r="AR11" s="155"/>
      <c r="AS11" s="154"/>
      <c r="AT11" s="154"/>
      <c r="AU11" s="154"/>
      <c r="AV11" s="154"/>
      <c r="AW11" s="154"/>
      <c r="AX11" s="154"/>
      <c r="AY11" s="154"/>
      <c r="AZ11" s="154"/>
      <c r="BA11" s="156"/>
      <c r="BB11" s="156"/>
      <c r="BC11" s="156"/>
      <c r="BD11" s="156"/>
      <c r="BG11" s="155"/>
      <c r="BH11" s="155"/>
      <c r="BI11" s="155"/>
      <c r="BJ11" s="155"/>
      <c r="BK11" s="155"/>
    </row>
    <row r="12" spans="1:63" s="84" customFormat="1" ht="15.75" thickBot="1" x14ac:dyDescent="0.3">
      <c r="A12" s="84" t="s">
        <v>409</v>
      </c>
      <c r="B12" s="85" t="s">
        <v>407</v>
      </c>
      <c r="C12" s="162" t="s">
        <v>723</v>
      </c>
      <c r="D12" s="86"/>
      <c r="E12" s="86"/>
      <c r="F12" s="157">
        <v>7</v>
      </c>
      <c r="G12" s="98">
        <v>1</v>
      </c>
      <c r="H12" s="87" t="s">
        <v>437</v>
      </c>
      <c r="I12" s="88" t="s">
        <v>724</v>
      </c>
      <c r="J12" s="158" t="str">
        <f t="shared" ref="J12:R12" si="0">IF(StackedBoards="TRUE","","S")</f>
        <v>S</v>
      </c>
      <c r="K12" s="158" t="str">
        <f t="shared" si="0"/>
        <v>S</v>
      </c>
      <c r="L12" s="158" t="str">
        <f t="shared" si="0"/>
        <v>S</v>
      </c>
      <c r="M12" s="158" t="str">
        <f t="shared" si="0"/>
        <v>S</v>
      </c>
      <c r="N12" s="158" t="str">
        <f t="shared" si="0"/>
        <v>S</v>
      </c>
      <c r="O12" s="158" t="str">
        <f t="shared" si="0"/>
        <v>S</v>
      </c>
      <c r="P12" s="158" t="str">
        <f t="shared" si="0"/>
        <v>S</v>
      </c>
      <c r="Q12" s="158" t="str">
        <f t="shared" si="0"/>
        <v>S</v>
      </c>
      <c r="R12" s="158" t="str">
        <f t="shared" si="0"/>
        <v>S</v>
      </c>
      <c r="S12" s="90" t="s">
        <v>418</v>
      </c>
      <c r="T12" s="90" t="s">
        <v>418</v>
      </c>
      <c r="U12" s="89" t="s">
        <v>418</v>
      </c>
      <c r="V12" s="90" t="s">
        <v>418</v>
      </c>
      <c r="W12" s="91" t="s">
        <v>418</v>
      </c>
      <c r="X12" s="91"/>
      <c r="Y12" s="91"/>
      <c r="Z12" s="91"/>
      <c r="AA12" s="91" t="s">
        <v>418</v>
      </c>
      <c r="AB12" s="90"/>
      <c r="AC12" s="90"/>
      <c r="AD12" s="90"/>
      <c r="AE12" s="90"/>
      <c r="AF12" s="90"/>
      <c r="AG12" s="90"/>
      <c r="AH12" s="90"/>
      <c r="AI12" s="90"/>
      <c r="AJ12" s="91"/>
      <c r="AK12" s="91"/>
      <c r="AL12" s="91"/>
      <c r="AM12" s="91"/>
      <c r="AN12" s="91"/>
      <c r="AO12" s="91"/>
      <c r="AP12" s="91"/>
      <c r="AQ12" s="91"/>
      <c r="AR12" s="91"/>
      <c r="AS12" s="90"/>
      <c r="AT12" s="90"/>
      <c r="AU12" s="90"/>
      <c r="AV12" s="90"/>
      <c r="AW12" s="90"/>
      <c r="AX12" s="90"/>
      <c r="AY12" s="90"/>
      <c r="AZ12" s="90"/>
      <c r="BA12" s="92"/>
      <c r="BB12" s="92"/>
      <c r="BC12" s="92"/>
      <c r="BD12" s="92"/>
      <c r="BG12" s="91"/>
      <c r="BH12" s="91"/>
      <c r="BI12" s="91"/>
      <c r="BJ12" s="91"/>
      <c r="BK12" s="91"/>
    </row>
    <row r="13" spans="1:63" s="70" customFormat="1" x14ac:dyDescent="0.25">
      <c r="A13" s="70" t="s">
        <v>415</v>
      </c>
      <c r="B13" s="71" t="s">
        <v>407</v>
      </c>
      <c r="C13" s="72" t="s">
        <v>434</v>
      </c>
      <c r="D13" s="73"/>
      <c r="E13" s="73"/>
      <c r="F13" s="74">
        <v>1</v>
      </c>
      <c r="G13" s="75">
        <v>1</v>
      </c>
      <c r="H13" s="76" t="s">
        <v>437</v>
      </c>
      <c r="I13" s="77"/>
      <c r="J13" s="78"/>
      <c r="K13" s="78"/>
      <c r="L13" s="78"/>
      <c r="M13" s="78"/>
      <c r="N13" s="78"/>
      <c r="O13" s="79"/>
      <c r="P13" s="78"/>
      <c r="Q13" s="79"/>
      <c r="R13" s="79"/>
      <c r="S13" s="79"/>
      <c r="T13" s="79"/>
      <c r="U13" s="78"/>
      <c r="V13" s="79"/>
      <c r="W13" s="80"/>
      <c r="X13" s="80"/>
      <c r="Y13" s="80"/>
      <c r="Z13" s="80"/>
      <c r="AA13" s="80"/>
      <c r="AB13" s="81" t="str">
        <f>_xlfn.SWITCH(Operator,710,"A-00884",500,IF(SidevsBottom="Sideload","A-01090","A-01092"),20,"GT20 Operator")</f>
        <v>A-00884</v>
      </c>
      <c r="AC13" s="81" t="str">
        <f>_xlfn.SWITCH(Operator,710,"A-00883",500,IF(SidevsBottom="Sideload","A-01091","A-01093"),20,"GT20 Operator")</f>
        <v>A-00883</v>
      </c>
      <c r="AD13" s="81" t="str">
        <f>_xlfn.SWITCH(Operator,710,"A-00884",500,IF(SidevsBottom="Sideload","A-01090","A-01092"),20,"GT20 Operator")</f>
        <v>A-00884</v>
      </c>
      <c r="AE13" s="81" t="str">
        <f>_xlfn.SWITCH(Operator,710,"A-00883",500,IF(SidevsBottom="Sideload","A-01091","A-01093"),20,"GT20 Operator")</f>
        <v>A-00883</v>
      </c>
      <c r="AF13" s="82"/>
      <c r="AG13" s="82"/>
      <c r="AH13" s="82"/>
      <c r="AI13" s="82"/>
      <c r="AJ13" s="80"/>
      <c r="AK13" s="80"/>
      <c r="AL13" s="80"/>
      <c r="AM13" s="80"/>
      <c r="AN13" s="80"/>
      <c r="AO13" s="80"/>
      <c r="AP13" s="80"/>
      <c r="AQ13" s="80"/>
      <c r="AR13" s="80"/>
      <c r="AS13" s="79"/>
      <c r="AT13" s="79"/>
      <c r="AU13" s="79"/>
      <c r="AV13" s="79"/>
      <c r="AW13" s="79"/>
      <c r="AX13" s="79"/>
      <c r="AY13" s="79"/>
      <c r="AZ13" s="79"/>
      <c r="BA13" s="83"/>
      <c r="BB13" s="83"/>
      <c r="BC13" s="83"/>
      <c r="BD13" s="83"/>
      <c r="BG13" s="80"/>
      <c r="BH13" s="80"/>
      <c r="BI13" s="80"/>
      <c r="BJ13" s="80"/>
      <c r="BK13" s="80"/>
    </row>
    <row r="14" spans="1:63" x14ac:dyDescent="0.25">
      <c r="A14" s="1" t="s">
        <v>415</v>
      </c>
      <c r="B14" s="47" t="s">
        <v>407</v>
      </c>
      <c r="C14" s="60" t="s">
        <v>435</v>
      </c>
      <c r="F14" s="2">
        <v>1</v>
      </c>
      <c r="G14" s="8">
        <v>1</v>
      </c>
      <c r="H14" s="10" t="s">
        <v>437</v>
      </c>
      <c r="AJ14" s="3" t="s">
        <v>418</v>
      </c>
      <c r="AK14" s="48" t="str">
        <f>_xlfn.SWITCH(Operator,710,"A-00884",500,IF(SidevsBottom="Sideload","A-01090","A-01092"),20,"GT20 Operator")</f>
        <v>A-00884</v>
      </c>
      <c r="AL14" s="48" t="str">
        <f>_xlfn.SWITCH(Operator,710,"A-00883",500,IF(SidevsBottom="Sideload","A-01091","A-01093"),20,"GT20 Operator")</f>
        <v>A-00883</v>
      </c>
      <c r="AM14" s="48" t="str">
        <f>_xlfn.SWITCH(Operator,710,"A-00884",500,IF(SidevsBottom="Sideload","A-01090","A-01092"),20,"GT20 Operator")</f>
        <v>A-00884</v>
      </c>
      <c r="AN14" s="48" t="str">
        <f>_xlfn.SWITCH(Operator,710,"A-00883",500,IF(SidevsBottom="Sideload","A-01091","A-01093"),20,"GT20 Operator")</f>
        <v>A-00883</v>
      </c>
      <c r="AO14" s="67"/>
      <c r="AP14" s="67"/>
      <c r="AQ14" s="67"/>
      <c r="AR14" s="67"/>
    </row>
    <row r="15" spans="1:63" x14ac:dyDescent="0.25">
      <c r="A15" s="1" t="s">
        <v>415</v>
      </c>
      <c r="B15" s="47" t="s">
        <v>407</v>
      </c>
      <c r="C15" s="60" t="s">
        <v>477</v>
      </c>
      <c r="F15" s="2">
        <v>4</v>
      </c>
      <c r="G15" s="8">
        <v>1</v>
      </c>
      <c r="H15" s="10" t="s">
        <v>437</v>
      </c>
      <c r="K15" s="48" t="str">
        <f>IF(FinishCode&gt;= 7,"T-00370","T-00334")</f>
        <v>T-00334</v>
      </c>
      <c r="M15" s="48" t="str">
        <f>IF(FinishCode&gt;= 7,"T-00370","T-00334")</f>
        <v>T-00334</v>
      </c>
      <c r="O15" s="48" t="str">
        <f>IF(FinishCode&gt;= 7,"T-00370","T-00334")</f>
        <v>T-00334</v>
      </c>
      <c r="Q15" s="48" t="str">
        <f>IF(FinishCode&gt;= 7,"T-00370","T-00334")</f>
        <v>T-00334</v>
      </c>
      <c r="S15" s="48" t="str">
        <f>IF(FinishCode&gt;= 7,"T-00017","T-00015")</f>
        <v>T-00015</v>
      </c>
      <c r="T15" s="48" t="str">
        <f>IF(FinishCode&gt;= 7,"T-00017","T-00015")</f>
        <v>T-00015</v>
      </c>
      <c r="U15" s="48" t="str">
        <f>IF(FinishCode&gt;= 7,"T-00370","T-00334")</f>
        <v>T-00334</v>
      </c>
      <c r="AF15" s="48" t="str">
        <f t="shared" ref="AF15:AI16" si="1">IF(FinishCode&gt;= 7,"T-00017","T-00015")</f>
        <v>T-00015</v>
      </c>
      <c r="AG15" s="48" t="str">
        <f t="shared" si="1"/>
        <v>T-00015</v>
      </c>
      <c r="AH15" s="48" t="str">
        <f t="shared" si="1"/>
        <v>T-00015</v>
      </c>
      <c r="AI15" s="48" t="str">
        <f t="shared" si="1"/>
        <v>T-00015</v>
      </c>
      <c r="AO15" s="48" t="str">
        <f t="shared" ref="AO15:AR16" si="2">IF(FinishCode&gt;= 7,"T-00017","T-00015")</f>
        <v>T-00015</v>
      </c>
      <c r="AP15" s="48" t="str">
        <f t="shared" si="2"/>
        <v>T-00015</v>
      </c>
      <c r="AQ15" s="48" t="str">
        <f t="shared" si="2"/>
        <v>T-00015</v>
      </c>
      <c r="AR15" s="48" t="str">
        <f t="shared" si="2"/>
        <v>T-00015</v>
      </c>
    </row>
    <row r="16" spans="1:63" x14ac:dyDescent="0.25">
      <c r="A16" s="1" t="s">
        <v>415</v>
      </c>
      <c r="B16" s="47" t="s">
        <v>407</v>
      </c>
      <c r="C16" s="60" t="s">
        <v>478</v>
      </c>
      <c r="F16" s="2">
        <v>4</v>
      </c>
      <c r="G16" s="8">
        <v>1</v>
      </c>
      <c r="H16" s="10" t="s">
        <v>437</v>
      </c>
      <c r="K16" s="48" t="str">
        <f>IF(FinishCode&gt;= 7,"T-00370","T-00334")</f>
        <v>T-00334</v>
      </c>
      <c r="M16" s="48" t="str">
        <f>IF(FinishCode&gt;= 7,"T-00370","T-00334")</f>
        <v>T-00334</v>
      </c>
      <c r="O16" s="48" t="str">
        <f>IF(FinishCode&gt;= 7,"T-00370","T-00334")</f>
        <v>T-00334</v>
      </c>
      <c r="Q16" s="48" t="str">
        <f>IF(FinishCode&gt;= 7,"T-00370","T-00334")</f>
        <v>T-00334</v>
      </c>
      <c r="S16" s="48" t="str">
        <f>IF(FinishCode&gt;= 7,"T-00017","T-00015")</f>
        <v>T-00015</v>
      </c>
      <c r="T16" s="48" t="str">
        <f>IF(FinishCode&gt;= 7,"T-00017","T-00015")</f>
        <v>T-00015</v>
      </c>
      <c r="U16" s="48" t="str">
        <f>IF(FinishCode&gt;= 7,"T-00370","T-00334")</f>
        <v>T-00334</v>
      </c>
      <c r="AF16" s="48" t="str">
        <f t="shared" si="1"/>
        <v>T-00015</v>
      </c>
      <c r="AG16" s="48" t="str">
        <f t="shared" si="1"/>
        <v>T-00015</v>
      </c>
      <c r="AH16" s="48" t="str">
        <f t="shared" si="1"/>
        <v>T-00015</v>
      </c>
      <c r="AI16" s="48" t="str">
        <f t="shared" si="1"/>
        <v>T-00015</v>
      </c>
      <c r="AJ16" s="3" t="s">
        <v>418</v>
      </c>
      <c r="AO16" s="48" t="str">
        <f t="shared" si="2"/>
        <v>T-00015</v>
      </c>
      <c r="AP16" s="48" t="str">
        <f t="shared" si="2"/>
        <v>T-00015</v>
      </c>
      <c r="AQ16" s="48" t="str">
        <f t="shared" si="2"/>
        <v>T-00015</v>
      </c>
      <c r="AR16" s="48" t="str">
        <f t="shared" si="2"/>
        <v>T-00015</v>
      </c>
    </row>
    <row r="17" spans="1:44" x14ac:dyDescent="0.25">
      <c r="A17" s="1" t="s">
        <v>415</v>
      </c>
      <c r="B17" s="47" t="s">
        <v>407</v>
      </c>
      <c r="C17" s="60" t="s">
        <v>436</v>
      </c>
      <c r="F17" s="49">
        <f>IF(OR(Application="Single", Application="Opman"),1,2)</f>
        <v>1</v>
      </c>
      <c r="G17" s="8">
        <v>1</v>
      </c>
      <c r="H17" s="10" t="s">
        <v>437</v>
      </c>
      <c r="J17" s="31" t="s">
        <v>490</v>
      </c>
      <c r="K17" s="31" t="s">
        <v>491</v>
      </c>
      <c r="L17" s="31" t="s">
        <v>490</v>
      </c>
      <c r="M17" s="31" t="s">
        <v>491</v>
      </c>
      <c r="N17" s="31" t="s">
        <v>490</v>
      </c>
      <c r="O17" s="31" t="s">
        <v>491</v>
      </c>
      <c r="P17" s="31" t="s">
        <v>490</v>
      </c>
      <c r="Q17" s="31" t="s">
        <v>491</v>
      </c>
      <c r="R17" s="31" t="s">
        <v>490</v>
      </c>
      <c r="S17" s="31" t="s">
        <v>491</v>
      </c>
      <c r="T17" s="31" t="s">
        <v>491</v>
      </c>
      <c r="U17" s="31" t="s">
        <v>491</v>
      </c>
      <c r="V17" s="67"/>
    </row>
    <row r="18" spans="1:44" x14ac:dyDescent="0.25">
      <c r="A18" s="1" t="s">
        <v>415</v>
      </c>
      <c r="B18" s="47" t="s">
        <v>407</v>
      </c>
      <c r="C18" s="60" t="s">
        <v>487</v>
      </c>
      <c r="F18" s="49">
        <f>IF(OR(Application="Single", Application="Opman",StackedBoards="TRUE"),4,8)</f>
        <v>4</v>
      </c>
      <c r="G18" s="8">
        <v>1</v>
      </c>
      <c r="H18" s="10" t="s">
        <v>437</v>
      </c>
      <c r="J18" s="66"/>
      <c r="K18" s="31" t="s">
        <v>483</v>
      </c>
      <c r="L18" s="66"/>
      <c r="M18" s="31" t="s">
        <v>483</v>
      </c>
      <c r="N18" s="66"/>
      <c r="O18" s="31" t="s">
        <v>483</v>
      </c>
      <c r="P18" s="66"/>
      <c r="Q18" s="31" t="s">
        <v>483</v>
      </c>
      <c r="R18" s="67"/>
      <c r="S18" s="4" t="s">
        <v>483</v>
      </c>
      <c r="T18" s="31" t="s">
        <v>483</v>
      </c>
      <c r="U18" s="31" t="s">
        <v>483</v>
      </c>
      <c r="V18" s="67"/>
    </row>
    <row r="19" spans="1:44" x14ac:dyDescent="0.25">
      <c r="A19" s="1" t="s">
        <v>415</v>
      </c>
      <c r="B19" s="47" t="s">
        <v>407</v>
      </c>
      <c r="C19" s="60" t="s">
        <v>488</v>
      </c>
      <c r="F19" s="49">
        <f>IF(OR(Application="Single", Application="Opman",StackedBoards="TRUE"),4,8)</f>
        <v>4</v>
      </c>
      <c r="G19" s="8">
        <v>1</v>
      </c>
      <c r="H19" s="10" t="s">
        <v>437</v>
      </c>
      <c r="J19" s="31" t="s">
        <v>418</v>
      </c>
      <c r="K19" s="31" t="s">
        <v>418</v>
      </c>
      <c r="L19" s="31" t="s">
        <v>418</v>
      </c>
      <c r="M19" s="31" t="s">
        <v>418</v>
      </c>
      <c r="N19" s="31" t="s">
        <v>418</v>
      </c>
      <c r="O19" s="4" t="s">
        <v>418</v>
      </c>
      <c r="P19" s="31" t="s">
        <v>418</v>
      </c>
      <c r="Q19" s="4" t="s">
        <v>418</v>
      </c>
      <c r="R19" s="4" t="s">
        <v>418</v>
      </c>
      <c r="S19" s="4" t="s">
        <v>492</v>
      </c>
      <c r="T19" s="4" t="s">
        <v>418</v>
      </c>
      <c r="U19" s="31" t="s">
        <v>418</v>
      </c>
      <c r="V19" s="4" t="s">
        <v>418</v>
      </c>
    </row>
    <row r="20" spans="1:44" x14ac:dyDescent="0.25">
      <c r="A20" s="1" t="s">
        <v>415</v>
      </c>
      <c r="B20" s="47" t="s">
        <v>407</v>
      </c>
      <c r="C20" s="61" t="s">
        <v>500</v>
      </c>
      <c r="F20" s="49">
        <f>IF(OR(Application="Single", Application="Opman"),1,2)</f>
        <v>1</v>
      </c>
      <c r="G20" s="8">
        <v>1</v>
      </c>
      <c r="H20" s="10" t="s">
        <v>437</v>
      </c>
      <c r="I20" s="24" t="s">
        <v>501</v>
      </c>
      <c r="S20" s="4" t="s">
        <v>418</v>
      </c>
      <c r="T20" s="4" t="s">
        <v>418</v>
      </c>
      <c r="U20" s="31" t="s">
        <v>418</v>
      </c>
      <c r="V20" s="4" t="s">
        <v>418</v>
      </c>
    </row>
    <row r="21" spans="1:44" x14ac:dyDescent="0.25">
      <c r="A21" s="1" t="s">
        <v>415</v>
      </c>
      <c r="B21" s="47" t="s">
        <v>407</v>
      </c>
      <c r="C21" s="60" t="s">
        <v>470</v>
      </c>
      <c r="F21" s="2">
        <v>1</v>
      </c>
      <c r="G21" s="8">
        <v>1</v>
      </c>
      <c r="H21" s="10" t="s">
        <v>437</v>
      </c>
      <c r="J21" s="66"/>
      <c r="K21" s="48" t="str">
        <f>Color("M-01051")</f>
        <v>M-61051</v>
      </c>
      <c r="L21" s="69" t="str">
        <f>IF(Finish="Dark Bronze (313)","A-70733","A-60733")</f>
        <v>A-60733</v>
      </c>
      <c r="M21" s="48" t="str">
        <f>Color("M-01051")</f>
        <v>M-61051</v>
      </c>
      <c r="N21" s="66"/>
      <c r="O21" s="48" t="str">
        <f>Color("M-01051")</f>
        <v>M-61051</v>
      </c>
      <c r="P21" s="69" t="str">
        <f>IF(Finish="Dark Bronze (313)","A-70733","A-60733")</f>
        <v>A-60733</v>
      </c>
      <c r="Q21" s="48" t="str">
        <f>Color("M-01051")</f>
        <v>M-61051</v>
      </c>
      <c r="R21" s="69" t="str">
        <f>IF(Finish="Dark Bronze (313)","A-70733","A-60733")</f>
        <v>A-60733</v>
      </c>
      <c r="S21" s="48" t="str">
        <f>Color("M-01055")</f>
        <v>M-61055</v>
      </c>
      <c r="T21" s="48" t="str">
        <f>Color("M-01464")</f>
        <v>M-61464</v>
      </c>
      <c r="U21" s="48" t="str">
        <f>Color("M-01464")</f>
        <v>M-61464</v>
      </c>
      <c r="V21" s="67"/>
    </row>
    <row r="22" spans="1:44" x14ac:dyDescent="0.25">
      <c r="A22" s="1" t="s">
        <v>415</v>
      </c>
      <c r="B22" s="47" t="s">
        <v>407</v>
      </c>
      <c r="C22" s="60" t="s">
        <v>470</v>
      </c>
      <c r="F22" s="2">
        <v>1</v>
      </c>
      <c r="G22" s="8">
        <v>1</v>
      </c>
      <c r="H22" s="10" t="s">
        <v>437</v>
      </c>
      <c r="J22" s="66"/>
      <c r="K22" s="48" t="str">
        <f>Color("M-01051")</f>
        <v>M-61051</v>
      </c>
      <c r="L22" s="69" t="str">
        <f>IF(Finish="Dark Bronze (313)","A-70733","A-60733")</f>
        <v>A-60733</v>
      </c>
      <c r="M22" s="48" t="str">
        <f>Color("M-01051")</f>
        <v>M-61051</v>
      </c>
      <c r="N22" s="66"/>
      <c r="O22" s="48" t="str">
        <f>Color("M-01051")</f>
        <v>M-61051</v>
      </c>
      <c r="P22" s="69" t="str">
        <f>IF(Finish="Dark Bronze (313)","A-70733","A-60733")</f>
        <v>A-60733</v>
      </c>
      <c r="Q22" s="48" t="str">
        <f>Color("M-01051")</f>
        <v>M-61051</v>
      </c>
      <c r="R22" s="69" t="str">
        <f>IF(Finish="Dark Bronze (313)","A-70733","A-60733")</f>
        <v>A-60733</v>
      </c>
      <c r="S22" s="48" t="str">
        <f>Color("M-01055")</f>
        <v>M-61055</v>
      </c>
      <c r="T22" s="48" t="str">
        <f>IF(Application="Single",Color("M-01051"),Color("M-01464"))</f>
        <v>M-61051</v>
      </c>
      <c r="U22" s="48" t="str">
        <f>IF(Application="Single",Color("M-01051"),Color("M-01464"))</f>
        <v>M-61051</v>
      </c>
      <c r="V22" s="67"/>
    </row>
    <row r="23" spans="1:44" x14ac:dyDescent="0.25">
      <c r="A23" s="1" t="s">
        <v>415</v>
      </c>
      <c r="B23" s="47" t="s">
        <v>407</v>
      </c>
      <c r="C23" s="60" t="s">
        <v>443</v>
      </c>
      <c r="F23" s="65">
        <f>IF(Model="GT710",6,8)</f>
        <v>8</v>
      </c>
      <c r="G23" s="8">
        <v>1</v>
      </c>
      <c r="H23" s="10" t="s">
        <v>437</v>
      </c>
      <c r="J23" s="66"/>
      <c r="K23" s="48" t="str">
        <f>IF(FinishCode&gt;= 7,"T-00108","T-00016")</f>
        <v>T-00016</v>
      </c>
      <c r="L23" s="48" t="str">
        <f>IF(FinishCode&gt;= 7,"T-00022","T-00061")</f>
        <v>T-00061</v>
      </c>
      <c r="M23" s="48" t="str">
        <f>IF(FinishCode&gt;= 7,"T-00108","T-00016")</f>
        <v>T-00016</v>
      </c>
      <c r="N23" s="66"/>
      <c r="O23" s="48" t="str">
        <f>IF(FinishCode&gt;= 7,"T-00108","T-00016")</f>
        <v>T-00016</v>
      </c>
      <c r="P23" s="48" t="str">
        <f>IF(FinishCode&gt;= 7,"T-00022","T-00061")</f>
        <v>T-00061</v>
      </c>
      <c r="Q23" s="48" t="str">
        <f>IF(FinishCode&gt;= 7,"T-00108","T-00016")</f>
        <v>T-00016</v>
      </c>
      <c r="R23" s="48" t="str">
        <f>IF(FinishCode&gt;= 7,"T-00022","T-00061")</f>
        <v>T-00061</v>
      </c>
      <c r="S23" s="48" t="str">
        <f>IF(FinishCode&gt;= 7,"T-00393","T-00326")</f>
        <v>T-00326</v>
      </c>
      <c r="T23" s="48" t="str">
        <f>IF(FinishCode&gt;= 7,"T-00108","T-00016")</f>
        <v>T-00016</v>
      </c>
      <c r="U23" s="48" t="str">
        <f>IF(FinishCode&gt;= 7,"T-00108","T-00016")</f>
        <v>T-00016</v>
      </c>
      <c r="V23" s="67"/>
    </row>
    <row r="24" spans="1:44" x14ac:dyDescent="0.25">
      <c r="A24" s="1" t="s">
        <v>415</v>
      </c>
      <c r="B24" s="47" t="s">
        <v>407</v>
      </c>
      <c r="C24" s="61" t="s">
        <v>522</v>
      </c>
      <c r="F24" s="2">
        <v>4</v>
      </c>
      <c r="G24" s="8">
        <v>1</v>
      </c>
      <c r="H24" s="10" t="s">
        <v>437</v>
      </c>
      <c r="I24" s="24" t="s">
        <v>523</v>
      </c>
      <c r="J24" s="31" t="s">
        <v>418</v>
      </c>
      <c r="K24" s="31" t="s">
        <v>418</v>
      </c>
      <c r="M24" s="31" t="s">
        <v>418</v>
      </c>
      <c r="N24" s="31" t="s">
        <v>418</v>
      </c>
      <c r="O24" s="4" t="s">
        <v>418</v>
      </c>
      <c r="Q24" s="4" t="s">
        <v>418</v>
      </c>
      <c r="S24" s="4" t="s">
        <v>418</v>
      </c>
      <c r="T24" s="4" t="s">
        <v>418</v>
      </c>
      <c r="U24" s="31" t="s">
        <v>418</v>
      </c>
      <c r="V24" s="4" t="s">
        <v>418</v>
      </c>
    </row>
    <row r="25" spans="1:44" x14ac:dyDescent="0.25">
      <c r="A25" s="1" t="s">
        <v>415</v>
      </c>
      <c r="B25" s="47" t="s">
        <v>407</v>
      </c>
      <c r="C25" s="61" t="s">
        <v>528</v>
      </c>
      <c r="F25" s="49">
        <f>IF(OR(Application="Single", Application="Opman"),1,2)</f>
        <v>1</v>
      </c>
      <c r="G25" s="8">
        <v>1</v>
      </c>
      <c r="H25" s="10" t="s">
        <v>437</v>
      </c>
      <c r="I25" s="24" t="s">
        <v>529</v>
      </c>
      <c r="K25" s="31" t="s">
        <v>418</v>
      </c>
      <c r="M25" s="31" t="s">
        <v>418</v>
      </c>
      <c r="O25" s="4" t="s">
        <v>418</v>
      </c>
      <c r="Q25" s="4" t="s">
        <v>418</v>
      </c>
      <c r="R25" s="31"/>
      <c r="S25" s="4" t="s">
        <v>418</v>
      </c>
      <c r="T25" s="4" t="s">
        <v>418</v>
      </c>
      <c r="U25" s="31" t="s">
        <v>418</v>
      </c>
      <c r="V25" s="4" t="s">
        <v>418</v>
      </c>
    </row>
    <row r="26" spans="1:44" x14ac:dyDescent="0.25">
      <c r="A26" s="1" t="s">
        <v>415</v>
      </c>
      <c r="B26" s="47" t="s">
        <v>407</v>
      </c>
      <c r="C26" s="60" t="s">
        <v>530</v>
      </c>
      <c r="F26" s="58">
        <v>3</v>
      </c>
      <c r="G26" s="8">
        <v>1</v>
      </c>
      <c r="H26" s="10" t="s">
        <v>437</v>
      </c>
      <c r="I26" s="24" t="s">
        <v>531</v>
      </c>
      <c r="K26" s="31" t="s">
        <v>418</v>
      </c>
      <c r="M26" s="31" t="s">
        <v>418</v>
      </c>
      <c r="O26" s="4" t="s">
        <v>418</v>
      </c>
      <c r="Q26" s="4" t="s">
        <v>418</v>
      </c>
      <c r="R26" s="31"/>
      <c r="S26" s="4" t="s">
        <v>418</v>
      </c>
      <c r="T26" s="4" t="s">
        <v>418</v>
      </c>
      <c r="U26" s="31" t="s">
        <v>418</v>
      </c>
      <c r="V26" s="4" t="s">
        <v>418</v>
      </c>
    </row>
    <row r="27" spans="1:44" x14ac:dyDescent="0.25">
      <c r="A27" s="1" t="s">
        <v>415</v>
      </c>
      <c r="B27" s="47" t="s">
        <v>407</v>
      </c>
      <c r="C27" s="61" t="s">
        <v>480</v>
      </c>
      <c r="F27" s="2">
        <v>1</v>
      </c>
      <c r="G27" s="8">
        <v>1</v>
      </c>
      <c r="H27" s="10" t="s">
        <v>437</v>
      </c>
      <c r="J27" s="31" t="s">
        <v>489</v>
      </c>
      <c r="K27" s="31" t="s">
        <v>481</v>
      </c>
      <c r="L27" s="31" t="s">
        <v>489</v>
      </c>
      <c r="M27" s="31" t="s">
        <v>481</v>
      </c>
      <c r="N27" s="31" t="s">
        <v>489</v>
      </c>
      <c r="O27" s="4" t="s">
        <v>481</v>
      </c>
      <c r="P27" s="31" t="s">
        <v>489</v>
      </c>
      <c r="Q27" s="4" t="s">
        <v>481</v>
      </c>
      <c r="R27" s="31" t="s">
        <v>489</v>
      </c>
      <c r="S27" s="4" t="s">
        <v>481</v>
      </c>
      <c r="T27" s="4" t="s">
        <v>481</v>
      </c>
      <c r="U27" s="31" t="s">
        <v>481</v>
      </c>
      <c r="V27" s="4" t="s">
        <v>418</v>
      </c>
    </row>
    <row r="28" spans="1:44" x14ac:dyDescent="0.25">
      <c r="A28" s="1" t="s">
        <v>415</v>
      </c>
      <c r="B28" s="47" t="s">
        <v>407</v>
      </c>
      <c r="C28" s="60" t="s">
        <v>482</v>
      </c>
      <c r="F28" s="2">
        <v>1</v>
      </c>
      <c r="G28" s="8">
        <v>1</v>
      </c>
      <c r="H28" s="10" t="s">
        <v>437</v>
      </c>
      <c r="J28" s="66"/>
      <c r="K28" s="31" t="s">
        <v>483</v>
      </c>
      <c r="L28" s="66"/>
      <c r="M28" s="31" t="s">
        <v>483</v>
      </c>
      <c r="N28" s="66"/>
      <c r="O28" s="4" t="s">
        <v>483</v>
      </c>
      <c r="P28" s="66"/>
      <c r="Q28" s="4" t="s">
        <v>483</v>
      </c>
      <c r="R28" s="67"/>
      <c r="S28" s="4" t="s">
        <v>483</v>
      </c>
      <c r="T28" s="4" t="s">
        <v>483</v>
      </c>
      <c r="U28" s="31" t="s">
        <v>483</v>
      </c>
      <c r="V28" s="4" t="s">
        <v>418</v>
      </c>
    </row>
    <row r="29" spans="1:44" x14ac:dyDescent="0.25">
      <c r="A29" s="1" t="s">
        <v>415</v>
      </c>
      <c r="B29" s="47" t="s">
        <v>407</v>
      </c>
      <c r="C29" s="61" t="s">
        <v>493</v>
      </c>
      <c r="F29" s="49">
        <f>IF(OR(Application="Single", Application="Opman"),1,2)</f>
        <v>1</v>
      </c>
      <c r="G29" s="8">
        <v>1</v>
      </c>
      <c r="H29" s="10" t="s">
        <v>437</v>
      </c>
      <c r="I29" s="24" t="s">
        <v>494</v>
      </c>
      <c r="V29" s="4" t="s">
        <v>418</v>
      </c>
    </row>
    <row r="30" spans="1:44" x14ac:dyDescent="0.25">
      <c r="A30" s="1" t="s">
        <v>415</v>
      </c>
      <c r="B30" s="47" t="s">
        <v>407</v>
      </c>
      <c r="C30" s="61" t="s">
        <v>495</v>
      </c>
      <c r="F30" s="49">
        <f>IF(OR(Application="Single", Application="Opman"),1,2)</f>
        <v>1</v>
      </c>
      <c r="G30" s="8">
        <v>1</v>
      </c>
      <c r="H30" s="10" t="s">
        <v>437</v>
      </c>
      <c r="J30" s="31" t="s">
        <v>497</v>
      </c>
      <c r="K30" s="31" t="s">
        <v>497</v>
      </c>
      <c r="L30" s="31" t="s">
        <v>497</v>
      </c>
      <c r="M30" s="31" t="s">
        <v>497</v>
      </c>
      <c r="N30" s="31" t="s">
        <v>497</v>
      </c>
      <c r="O30" s="31" t="s">
        <v>497</v>
      </c>
      <c r="P30" s="31" t="s">
        <v>497</v>
      </c>
      <c r="Q30" s="31" t="s">
        <v>497</v>
      </c>
      <c r="R30" s="31" t="s">
        <v>497</v>
      </c>
      <c r="S30" s="31" t="s">
        <v>498</v>
      </c>
      <c r="T30" s="31" t="s">
        <v>498</v>
      </c>
      <c r="U30" s="31" t="s">
        <v>498</v>
      </c>
      <c r="V30" s="4" t="s">
        <v>418</v>
      </c>
    </row>
    <row r="31" spans="1:44" x14ac:dyDescent="0.25">
      <c r="A31" s="1" t="s">
        <v>415</v>
      </c>
      <c r="B31" s="47" t="s">
        <v>407</v>
      </c>
      <c r="C31" s="61" t="s">
        <v>718</v>
      </c>
      <c r="F31" s="2">
        <v>1</v>
      </c>
      <c r="G31" s="8">
        <v>1</v>
      </c>
      <c r="H31" s="10" t="s">
        <v>437</v>
      </c>
      <c r="I31" s="24" t="s">
        <v>527</v>
      </c>
      <c r="S31" s="4" t="s">
        <v>418</v>
      </c>
      <c r="T31" s="4" t="s">
        <v>418</v>
      </c>
      <c r="U31" s="31" t="s">
        <v>418</v>
      </c>
      <c r="V31" s="4" t="s">
        <v>418</v>
      </c>
      <c r="AB31" s="4" t="s">
        <v>418</v>
      </c>
      <c r="AD31" s="4" t="s">
        <v>418</v>
      </c>
      <c r="AF31" s="4" t="s">
        <v>418</v>
      </c>
      <c r="AG31" s="4" t="s">
        <v>418</v>
      </c>
      <c r="AH31" s="4" t="s">
        <v>418</v>
      </c>
      <c r="AI31" s="4" t="s">
        <v>418</v>
      </c>
    </row>
    <row r="32" spans="1:44" x14ac:dyDescent="0.25">
      <c r="A32" s="1" t="s">
        <v>415</v>
      </c>
      <c r="B32" s="47" t="s">
        <v>407</v>
      </c>
      <c r="C32" s="61" t="s">
        <v>719</v>
      </c>
      <c r="F32" s="2">
        <v>1</v>
      </c>
      <c r="G32" s="8">
        <v>1</v>
      </c>
      <c r="H32" s="10" t="s">
        <v>437</v>
      </c>
      <c r="I32" s="24" t="s">
        <v>527</v>
      </c>
      <c r="S32" s="4" t="s">
        <v>418</v>
      </c>
      <c r="T32" s="4" t="s">
        <v>418</v>
      </c>
      <c r="U32" s="31" t="s">
        <v>418</v>
      </c>
      <c r="V32" s="4" t="s">
        <v>418</v>
      </c>
      <c r="AJ32" s="3" t="s">
        <v>418</v>
      </c>
      <c r="AK32" s="3" t="s">
        <v>418</v>
      </c>
      <c r="AM32" s="3" t="s">
        <v>418</v>
      </c>
      <c r="AO32" s="3" t="s">
        <v>418</v>
      </c>
      <c r="AP32" s="3" t="s">
        <v>418</v>
      </c>
      <c r="AQ32" s="3" t="s">
        <v>418</v>
      </c>
      <c r="AR32" s="3" t="s">
        <v>418</v>
      </c>
    </row>
    <row r="33" spans="1:52" x14ac:dyDescent="0.25">
      <c r="A33" s="1" t="s">
        <v>415</v>
      </c>
      <c r="B33" s="47" t="s">
        <v>407</v>
      </c>
      <c r="C33" s="61" t="s">
        <v>496</v>
      </c>
      <c r="F33" s="2">
        <v>1</v>
      </c>
      <c r="G33" s="8">
        <v>1</v>
      </c>
      <c r="H33" s="10" t="s">
        <v>437</v>
      </c>
      <c r="I33" s="24" t="s">
        <v>499</v>
      </c>
      <c r="W33" s="3" t="s">
        <v>418</v>
      </c>
      <c r="Z33" s="3" t="s">
        <v>418</v>
      </c>
      <c r="AA33" s="3" t="s">
        <v>418</v>
      </c>
    </row>
    <row r="34" spans="1:52" x14ac:dyDescent="0.25">
      <c r="A34" s="1" t="s">
        <v>415</v>
      </c>
      <c r="B34" s="47" t="s">
        <v>407</v>
      </c>
      <c r="C34" s="61" t="s">
        <v>502</v>
      </c>
      <c r="F34" s="2">
        <v>1</v>
      </c>
      <c r="G34" s="8">
        <v>1</v>
      </c>
      <c r="H34" s="10" t="s">
        <v>437</v>
      </c>
      <c r="I34" s="24" t="s">
        <v>503</v>
      </c>
      <c r="V34" s="4" t="s">
        <v>418</v>
      </c>
    </row>
    <row r="35" spans="1:52" x14ac:dyDescent="0.25">
      <c r="A35" s="1" t="s">
        <v>415</v>
      </c>
      <c r="B35" s="47" t="s">
        <v>407</v>
      </c>
      <c r="C35" s="60" t="s">
        <v>479</v>
      </c>
      <c r="F35" s="49">
        <f>IF(Model="GT710",IF(HeaderLength&gt;71.5,3,2),IF(Application="Single",3,5))</f>
        <v>3</v>
      </c>
      <c r="G35" s="8">
        <v>1</v>
      </c>
      <c r="H35" s="10" t="s">
        <v>437</v>
      </c>
      <c r="J35" s="31" t="s">
        <v>418</v>
      </c>
      <c r="K35" s="48" t="str">
        <f>IF(FinishCode&gt;= 7,"T-00363","T-00337")</f>
        <v>T-00337</v>
      </c>
      <c r="L35" s="31" t="s">
        <v>418</v>
      </c>
      <c r="M35" s="48" t="str">
        <f>IF(FinishCode&gt;= 7,"T-00363","T-00337")</f>
        <v>T-00337</v>
      </c>
      <c r="N35" s="31" t="s">
        <v>418</v>
      </c>
      <c r="O35" s="48" t="str">
        <f>IF(FinishCode&gt;= 7,"T-00363","T-00337")</f>
        <v>T-00337</v>
      </c>
      <c r="P35" s="31" t="s">
        <v>418</v>
      </c>
      <c r="Q35" s="48" t="str">
        <f>IF(FinishCode&gt;= 7,"T-00363","T-00337")</f>
        <v>T-00337</v>
      </c>
      <c r="R35" s="4" t="s">
        <v>418</v>
      </c>
      <c r="S35" s="48" t="str">
        <f>IF(FinishCode&gt;= 7,"T-00363","T-00337")</f>
        <v>T-00337</v>
      </c>
      <c r="T35" s="48" t="str">
        <f>IF(FinishCode&gt;= 7,"T-00363","T-00337")</f>
        <v>T-00337</v>
      </c>
      <c r="U35" s="48" t="str">
        <f>IF(FinishCode&gt;= 7,"T-00363","T-00337")</f>
        <v>T-00337</v>
      </c>
      <c r="V35" s="67"/>
    </row>
    <row r="36" spans="1:52" x14ac:dyDescent="0.25">
      <c r="A36" s="1" t="s">
        <v>415</v>
      </c>
      <c r="B36" s="47" t="s">
        <v>407</v>
      </c>
      <c r="C36" s="60" t="s">
        <v>532</v>
      </c>
      <c r="F36" s="65">
        <v>3</v>
      </c>
      <c r="G36" s="8">
        <v>1</v>
      </c>
      <c r="H36" s="10" t="s">
        <v>437</v>
      </c>
      <c r="J36" s="48" t="str">
        <f>IF(FinishCode&gt;= 7,"T-00380","T-00391")</f>
        <v>T-00391</v>
      </c>
      <c r="K36" s="31" t="s">
        <v>418</v>
      </c>
      <c r="L36" s="48" t="str">
        <f>IF(FinishCode&gt;= 7,"T-00380","T-00391")</f>
        <v>T-00391</v>
      </c>
      <c r="M36" s="31" t="s">
        <v>418</v>
      </c>
      <c r="N36" s="48" t="str">
        <f>IF(FinishCode&gt;= 7,"T-00380","T-00391")</f>
        <v>T-00391</v>
      </c>
      <c r="O36" s="4" t="s">
        <v>418</v>
      </c>
      <c r="P36" s="48" t="str">
        <f>IF(FinishCode&gt;= 7,"T-00380","T-00391")</f>
        <v>T-00391</v>
      </c>
      <c r="Q36" s="4" t="s">
        <v>418</v>
      </c>
      <c r="R36" s="48" t="str">
        <f>IF(FinishCode&gt;= 7,"T-00380","T-00391")</f>
        <v>T-00391</v>
      </c>
      <c r="S36" s="4" t="s">
        <v>418</v>
      </c>
      <c r="T36" s="4" t="s">
        <v>418</v>
      </c>
      <c r="U36" s="31" t="s">
        <v>418</v>
      </c>
      <c r="V36" s="4" t="s">
        <v>418</v>
      </c>
    </row>
    <row r="37" spans="1:52" x14ac:dyDescent="0.25">
      <c r="A37" s="1" t="s">
        <v>415</v>
      </c>
      <c r="B37" s="47" t="s">
        <v>407</v>
      </c>
      <c r="C37" s="60" t="s">
        <v>444</v>
      </c>
      <c r="F37" s="2">
        <v>1</v>
      </c>
      <c r="G37" s="8">
        <v>1</v>
      </c>
      <c r="H37" s="10" t="s">
        <v>437</v>
      </c>
      <c r="I37" s="24" t="s">
        <v>445</v>
      </c>
      <c r="M37" s="48" t="str">
        <f>IF(Application="Single","S","")</f>
        <v>S</v>
      </c>
      <c r="Q37" s="48" t="str">
        <f>IF(Application="Single","S","")</f>
        <v>S</v>
      </c>
      <c r="S37" s="4" t="s">
        <v>418</v>
      </c>
      <c r="T37" s="4" t="s">
        <v>418</v>
      </c>
    </row>
    <row r="38" spans="1:52" x14ac:dyDescent="0.25">
      <c r="A38" s="1" t="s">
        <v>415</v>
      </c>
      <c r="B38" s="47" t="s">
        <v>407</v>
      </c>
      <c r="C38" s="60" t="s">
        <v>473</v>
      </c>
      <c r="F38" s="49">
        <f>IF(OR(Application="Single", Application="Opman"),2,4)</f>
        <v>2</v>
      </c>
      <c r="G38" s="8">
        <v>1</v>
      </c>
      <c r="H38" s="10" t="s">
        <v>437</v>
      </c>
      <c r="I38" s="24" t="s">
        <v>474</v>
      </c>
      <c r="J38" s="31" t="s">
        <v>418</v>
      </c>
      <c r="L38" s="31" t="s">
        <v>418</v>
      </c>
      <c r="N38" s="31" t="s">
        <v>418</v>
      </c>
      <c r="P38" s="31" t="s">
        <v>418</v>
      </c>
      <c r="R38" s="4" t="s">
        <v>418</v>
      </c>
      <c r="V38" s="67"/>
    </row>
    <row r="39" spans="1:52" x14ac:dyDescent="0.25">
      <c r="A39" s="1" t="s">
        <v>415</v>
      </c>
      <c r="B39" s="47" t="s">
        <v>407</v>
      </c>
      <c r="C39" s="60" t="s">
        <v>524</v>
      </c>
      <c r="F39" s="2">
        <v>4</v>
      </c>
      <c r="G39" s="8">
        <v>1</v>
      </c>
      <c r="H39" s="10" t="s">
        <v>437</v>
      </c>
      <c r="K39" s="31" t="s">
        <v>418</v>
      </c>
      <c r="M39" s="31" t="s">
        <v>418</v>
      </c>
      <c r="O39" s="4" t="s">
        <v>418</v>
      </c>
      <c r="Q39" s="4" t="s">
        <v>418</v>
      </c>
      <c r="R39" s="31"/>
      <c r="S39" s="4" t="s">
        <v>418</v>
      </c>
      <c r="T39" s="4" t="s">
        <v>418</v>
      </c>
      <c r="U39" s="31" t="s">
        <v>418</v>
      </c>
      <c r="V39" s="4" t="s">
        <v>418</v>
      </c>
      <c r="AS39" s="4" t="s">
        <v>525</v>
      </c>
      <c r="AT39" s="4" t="s">
        <v>526</v>
      </c>
      <c r="AU39" s="4" t="s">
        <v>526</v>
      </c>
      <c r="AV39" s="4" t="s">
        <v>525</v>
      </c>
      <c r="AW39" s="4" t="s">
        <v>525</v>
      </c>
      <c r="AX39" s="4" t="s">
        <v>525</v>
      </c>
      <c r="AY39" s="4" t="s">
        <v>525</v>
      </c>
      <c r="AZ39" s="4" t="s">
        <v>525</v>
      </c>
    </row>
    <row r="40" spans="1:52" x14ac:dyDescent="0.25">
      <c r="A40" s="1" t="s">
        <v>415</v>
      </c>
      <c r="B40" s="47" t="s">
        <v>407</v>
      </c>
      <c r="C40" s="60" t="s">
        <v>447</v>
      </c>
      <c r="F40" s="49">
        <f>IF(OR(Application="Single", Application="Opman"),1,2)</f>
        <v>1</v>
      </c>
      <c r="G40" s="8">
        <v>1</v>
      </c>
      <c r="H40" s="10" t="s">
        <v>437</v>
      </c>
      <c r="J40" s="31" t="s">
        <v>519</v>
      </c>
      <c r="K40" s="4" t="s">
        <v>518</v>
      </c>
      <c r="L40" s="31" t="s">
        <v>519</v>
      </c>
      <c r="M40" s="4" t="s">
        <v>518</v>
      </c>
      <c r="N40" s="31" t="s">
        <v>519</v>
      </c>
      <c r="O40" s="4" t="s">
        <v>518</v>
      </c>
      <c r="P40" s="31" t="s">
        <v>519</v>
      </c>
      <c r="Q40" s="4" t="s">
        <v>518</v>
      </c>
      <c r="R40" s="31" t="s">
        <v>519</v>
      </c>
      <c r="S40" s="4" t="s">
        <v>484</v>
      </c>
      <c r="T40" s="4" t="s">
        <v>518</v>
      </c>
      <c r="U40" s="4" t="s">
        <v>518</v>
      </c>
      <c r="V40" s="67"/>
    </row>
    <row r="41" spans="1:52" x14ac:dyDescent="0.25">
      <c r="A41" s="1" t="s">
        <v>415</v>
      </c>
      <c r="B41" s="47" t="s">
        <v>407</v>
      </c>
      <c r="C41" s="61" t="s">
        <v>448</v>
      </c>
      <c r="F41" s="49">
        <f>IF(OR(Application="Single", Application="Opman"),1,2)</f>
        <v>1</v>
      </c>
      <c r="G41" s="8">
        <v>1</v>
      </c>
      <c r="H41" s="10" t="s">
        <v>437</v>
      </c>
      <c r="I41" s="24" t="s">
        <v>449</v>
      </c>
      <c r="V41" s="4" t="s">
        <v>418</v>
      </c>
    </row>
    <row r="42" spans="1:52" x14ac:dyDescent="0.25">
      <c r="A42" s="1" t="s">
        <v>415</v>
      </c>
      <c r="B42" s="47" t="s">
        <v>407</v>
      </c>
      <c r="C42" s="60" t="s">
        <v>517</v>
      </c>
      <c r="F42" s="49">
        <f>IF(OR(Application="Single", Application="Opman"),2,4)</f>
        <v>2</v>
      </c>
      <c r="G42" s="8">
        <v>1</v>
      </c>
      <c r="H42" s="10" t="s">
        <v>437</v>
      </c>
      <c r="I42" s="24" t="s">
        <v>446</v>
      </c>
      <c r="S42" s="4" t="s">
        <v>418</v>
      </c>
      <c r="V42" s="4" t="s">
        <v>418</v>
      </c>
    </row>
    <row r="43" spans="1:52" x14ac:dyDescent="0.25">
      <c r="A43" s="1" t="s">
        <v>415</v>
      </c>
      <c r="B43" s="47" t="s">
        <v>407</v>
      </c>
      <c r="C43" s="61" t="s">
        <v>471</v>
      </c>
      <c r="F43" s="49">
        <f>IF(Model="GT710",2,IF(Application="Single",1,2))</f>
        <v>1</v>
      </c>
      <c r="G43" s="8">
        <v>1</v>
      </c>
      <c r="H43" s="10" t="s">
        <v>437</v>
      </c>
      <c r="I43" s="24" t="s">
        <v>472</v>
      </c>
      <c r="J43" s="31" t="s">
        <v>418</v>
      </c>
      <c r="K43" s="31" t="s">
        <v>418</v>
      </c>
      <c r="L43" s="31" t="s">
        <v>418</v>
      </c>
      <c r="M43" s="31" t="s">
        <v>418</v>
      </c>
      <c r="N43" s="31" t="s">
        <v>418</v>
      </c>
      <c r="O43" s="4" t="s">
        <v>418</v>
      </c>
      <c r="P43" s="31" t="s">
        <v>418</v>
      </c>
      <c r="Q43" s="4" t="s">
        <v>418</v>
      </c>
      <c r="R43" s="4" t="s">
        <v>418</v>
      </c>
      <c r="V43" s="4" t="s">
        <v>418</v>
      </c>
    </row>
    <row r="44" spans="1:52" x14ac:dyDescent="0.25">
      <c r="A44" s="1" t="s">
        <v>415</v>
      </c>
      <c r="B44" s="47" t="s">
        <v>407</v>
      </c>
      <c r="C44" s="60" t="s">
        <v>471</v>
      </c>
      <c r="F44" s="2">
        <v>2</v>
      </c>
      <c r="G44" s="8">
        <v>1</v>
      </c>
      <c r="H44" s="10" t="s">
        <v>437</v>
      </c>
      <c r="I44" s="24" t="s">
        <v>472</v>
      </c>
      <c r="J44" s="66"/>
      <c r="K44" s="31" t="s">
        <v>418</v>
      </c>
      <c r="M44" s="31" t="s">
        <v>418</v>
      </c>
      <c r="N44" s="66"/>
      <c r="O44" s="4" t="s">
        <v>418</v>
      </c>
      <c r="Q44" s="4" t="s">
        <v>418</v>
      </c>
      <c r="S44" s="4" t="s">
        <v>418</v>
      </c>
      <c r="T44" s="4" t="s">
        <v>418</v>
      </c>
      <c r="U44" s="31" t="s">
        <v>418</v>
      </c>
      <c r="V44" s="4" t="s">
        <v>418</v>
      </c>
    </row>
    <row r="45" spans="1:52" x14ac:dyDescent="0.25">
      <c r="A45" s="1" t="s">
        <v>415</v>
      </c>
      <c r="B45" s="47" t="s">
        <v>407</v>
      </c>
      <c r="C45" s="61" t="s">
        <v>485</v>
      </c>
      <c r="F45" s="49">
        <f>IF(OR(Application="Single", Application="Opman"),2,5)</f>
        <v>2</v>
      </c>
      <c r="G45" s="8">
        <v>1</v>
      </c>
      <c r="H45" s="10" t="s">
        <v>437</v>
      </c>
      <c r="I45" s="24" t="s">
        <v>486</v>
      </c>
      <c r="J45" s="31" t="s">
        <v>418</v>
      </c>
      <c r="K45" s="31" t="s">
        <v>418</v>
      </c>
      <c r="L45" s="31" t="s">
        <v>418</v>
      </c>
      <c r="M45" s="31" t="s">
        <v>418</v>
      </c>
      <c r="N45" s="31" t="s">
        <v>418</v>
      </c>
      <c r="O45" s="4" t="s">
        <v>418</v>
      </c>
      <c r="P45" s="31" t="s">
        <v>418</v>
      </c>
      <c r="Q45" s="4" t="s">
        <v>418</v>
      </c>
      <c r="R45" s="4" t="s">
        <v>418</v>
      </c>
      <c r="V45" s="4" t="s">
        <v>418</v>
      </c>
    </row>
    <row r="46" spans="1:52" x14ac:dyDescent="0.25">
      <c r="A46" s="1" t="s">
        <v>415</v>
      </c>
      <c r="B46" s="47" t="s">
        <v>407</v>
      </c>
      <c r="C46" s="61" t="s">
        <v>505</v>
      </c>
      <c r="F46" s="49">
        <f>IF(OR(Application="Single", Application="Opman"),1,2)</f>
        <v>1</v>
      </c>
      <c r="G46" s="8">
        <v>1</v>
      </c>
      <c r="H46" s="10" t="s">
        <v>437</v>
      </c>
      <c r="I46" s="24" t="s">
        <v>506</v>
      </c>
      <c r="K46" s="31" t="s">
        <v>418</v>
      </c>
      <c r="M46" s="31" t="s">
        <v>418</v>
      </c>
      <c r="O46" s="4" t="s">
        <v>418</v>
      </c>
      <c r="Q46" s="4" t="s">
        <v>418</v>
      </c>
      <c r="S46" s="4" t="s">
        <v>418</v>
      </c>
      <c r="T46" s="4" t="s">
        <v>418</v>
      </c>
      <c r="U46" s="31" t="s">
        <v>418</v>
      </c>
      <c r="V46" s="4" t="s">
        <v>418</v>
      </c>
    </row>
    <row r="47" spans="1:52" x14ac:dyDescent="0.25">
      <c r="A47" s="1" t="s">
        <v>415</v>
      </c>
      <c r="B47" s="47" t="s">
        <v>407</v>
      </c>
      <c r="C47" s="61" t="s">
        <v>520</v>
      </c>
      <c r="F47" s="49">
        <f>IF(OR(Application="Single", Application="Opman"),1,2)</f>
        <v>1</v>
      </c>
      <c r="G47" s="8">
        <v>1</v>
      </c>
      <c r="H47" s="10" t="s">
        <v>437</v>
      </c>
      <c r="J47" s="31" t="s">
        <v>521</v>
      </c>
      <c r="K47" s="31" t="s">
        <v>507</v>
      </c>
      <c r="L47" s="31" t="s">
        <v>521</v>
      </c>
      <c r="M47" s="31" t="s">
        <v>507</v>
      </c>
      <c r="N47" s="31" t="s">
        <v>521</v>
      </c>
      <c r="O47" s="4" t="s">
        <v>507</v>
      </c>
      <c r="P47" s="31" t="s">
        <v>521</v>
      </c>
      <c r="Q47" s="4" t="s">
        <v>507</v>
      </c>
      <c r="R47" s="31" t="s">
        <v>521</v>
      </c>
      <c r="S47" s="4" t="s">
        <v>507</v>
      </c>
      <c r="T47" s="4" t="s">
        <v>507</v>
      </c>
      <c r="U47" s="31" t="s">
        <v>507</v>
      </c>
      <c r="V47" s="31" t="s">
        <v>418</v>
      </c>
    </row>
    <row r="48" spans="1:52" x14ac:dyDescent="0.25">
      <c r="A48" s="1" t="s">
        <v>415</v>
      </c>
      <c r="B48" s="47" t="s">
        <v>407</v>
      </c>
      <c r="C48" s="61" t="s">
        <v>720</v>
      </c>
      <c r="F48" s="2">
        <v>2</v>
      </c>
      <c r="G48" s="8">
        <v>1</v>
      </c>
      <c r="H48" s="10" t="s">
        <v>437</v>
      </c>
      <c r="I48" s="24" t="s">
        <v>721</v>
      </c>
      <c r="J48" s="139" t="str">
        <f t="shared" ref="J48:U49" si="3">IF(StackedBoards="TRUE","","S")</f>
        <v>S</v>
      </c>
      <c r="K48" s="139" t="str">
        <f t="shared" si="3"/>
        <v>S</v>
      </c>
      <c r="L48" s="139" t="str">
        <f t="shared" si="3"/>
        <v>S</v>
      </c>
      <c r="M48" s="139" t="str">
        <f t="shared" si="3"/>
        <v>S</v>
      </c>
      <c r="N48" s="139" t="str">
        <f t="shared" si="3"/>
        <v>S</v>
      </c>
      <c r="O48" s="139" t="str">
        <f t="shared" si="3"/>
        <v>S</v>
      </c>
      <c r="P48" s="139" t="str">
        <f t="shared" si="3"/>
        <v>S</v>
      </c>
      <c r="Q48" s="139" t="str">
        <f t="shared" si="3"/>
        <v>S</v>
      </c>
      <c r="R48" s="139" t="str">
        <f t="shared" si="3"/>
        <v>S</v>
      </c>
      <c r="S48" s="139" t="str">
        <f t="shared" si="3"/>
        <v>S</v>
      </c>
      <c r="T48" s="139" t="str">
        <f t="shared" si="3"/>
        <v>S</v>
      </c>
      <c r="U48" s="139" t="str">
        <f t="shared" si="3"/>
        <v>S</v>
      </c>
      <c r="V48" s="31" t="s">
        <v>418</v>
      </c>
      <c r="W48" s="3" t="s">
        <v>418</v>
      </c>
      <c r="AA48" s="3" t="s">
        <v>418</v>
      </c>
    </row>
    <row r="49" spans="1:63" x14ac:dyDescent="0.25">
      <c r="A49" s="1" t="s">
        <v>415</v>
      </c>
      <c r="B49" s="47" t="s">
        <v>407</v>
      </c>
      <c r="C49" s="61" t="s">
        <v>726</v>
      </c>
      <c r="F49" s="2">
        <v>4</v>
      </c>
      <c r="G49" s="8">
        <v>1</v>
      </c>
      <c r="H49" s="10" t="s">
        <v>437</v>
      </c>
      <c r="I49" s="24" t="s">
        <v>722</v>
      </c>
      <c r="J49" s="139" t="str">
        <f t="shared" si="3"/>
        <v>S</v>
      </c>
      <c r="K49" s="139" t="str">
        <f t="shared" si="3"/>
        <v>S</v>
      </c>
      <c r="L49" s="139" t="str">
        <f t="shared" si="3"/>
        <v>S</v>
      </c>
      <c r="M49" s="139" t="str">
        <f t="shared" si="3"/>
        <v>S</v>
      </c>
      <c r="N49" s="139" t="str">
        <f t="shared" si="3"/>
        <v>S</v>
      </c>
      <c r="O49" s="139" t="str">
        <f t="shared" si="3"/>
        <v>S</v>
      </c>
      <c r="P49" s="139" t="str">
        <f t="shared" si="3"/>
        <v>S</v>
      </c>
      <c r="Q49" s="139" t="str">
        <f t="shared" si="3"/>
        <v>S</v>
      </c>
      <c r="R49" s="139" t="str">
        <f t="shared" si="3"/>
        <v>S</v>
      </c>
      <c r="S49" s="139" t="str">
        <f t="shared" si="3"/>
        <v>S</v>
      </c>
      <c r="T49" s="139" t="str">
        <f t="shared" si="3"/>
        <v>S</v>
      </c>
      <c r="U49" s="139" t="str">
        <f t="shared" si="3"/>
        <v>S</v>
      </c>
      <c r="V49" s="31" t="s">
        <v>418</v>
      </c>
      <c r="W49" s="3" t="s">
        <v>418</v>
      </c>
      <c r="AA49" s="3" t="s">
        <v>418</v>
      </c>
    </row>
    <row r="50" spans="1:63" x14ac:dyDescent="0.25">
      <c r="A50" s="1" t="s">
        <v>415</v>
      </c>
      <c r="B50" s="47" t="s">
        <v>407</v>
      </c>
      <c r="C50" s="61" t="s">
        <v>450</v>
      </c>
      <c r="F50" s="2">
        <v>1</v>
      </c>
      <c r="G50" s="8">
        <v>1</v>
      </c>
      <c r="H50" s="10" t="s">
        <v>437</v>
      </c>
      <c r="I50" s="24" t="s">
        <v>451</v>
      </c>
    </row>
    <row r="51" spans="1:63" x14ac:dyDescent="0.25">
      <c r="A51" s="1" t="s">
        <v>415</v>
      </c>
      <c r="B51" s="47" t="s">
        <v>407</v>
      </c>
      <c r="C51" s="61" t="s">
        <v>453</v>
      </c>
      <c r="F51" s="2">
        <v>1</v>
      </c>
      <c r="G51" s="8">
        <v>1</v>
      </c>
      <c r="H51" s="10" t="s">
        <v>437</v>
      </c>
      <c r="I51" s="24" t="s">
        <v>454</v>
      </c>
    </row>
    <row r="52" spans="1:63" x14ac:dyDescent="0.25">
      <c r="A52" s="1" t="s">
        <v>415</v>
      </c>
      <c r="B52" s="47" t="s">
        <v>407</v>
      </c>
      <c r="C52" s="61" t="s">
        <v>452</v>
      </c>
      <c r="F52" s="2">
        <v>1</v>
      </c>
      <c r="G52" s="8">
        <v>1</v>
      </c>
      <c r="H52" s="10" t="s">
        <v>437</v>
      </c>
      <c r="I52" s="24" t="s">
        <v>455</v>
      </c>
      <c r="J52" s="31" t="s">
        <v>418</v>
      </c>
      <c r="K52" s="31" t="s">
        <v>418</v>
      </c>
      <c r="L52" s="31" t="s">
        <v>418</v>
      </c>
      <c r="N52" s="31" t="s">
        <v>418</v>
      </c>
      <c r="O52" s="4" t="s">
        <v>418</v>
      </c>
      <c r="P52" s="31" t="s">
        <v>418</v>
      </c>
      <c r="U52" s="31" t="s">
        <v>418</v>
      </c>
      <c r="V52" s="4" t="s">
        <v>418</v>
      </c>
    </row>
    <row r="53" spans="1:63" x14ac:dyDescent="0.25">
      <c r="A53" s="1" t="s">
        <v>415</v>
      </c>
      <c r="B53" s="47" t="s">
        <v>407</v>
      </c>
      <c r="C53" s="60" t="s">
        <v>456</v>
      </c>
      <c r="F53" s="2">
        <v>1</v>
      </c>
      <c r="G53" s="8">
        <v>1</v>
      </c>
      <c r="H53" s="10" t="s">
        <v>437</v>
      </c>
      <c r="I53" s="24" t="s">
        <v>457</v>
      </c>
      <c r="V53" s="67"/>
    </row>
    <row r="54" spans="1:63" x14ac:dyDescent="0.25">
      <c r="A54" s="1" t="s">
        <v>415</v>
      </c>
      <c r="B54" s="47" t="s">
        <v>407</v>
      </c>
      <c r="C54" s="60" t="s">
        <v>458</v>
      </c>
      <c r="F54" s="2">
        <v>1</v>
      </c>
      <c r="G54" s="8">
        <v>1</v>
      </c>
      <c r="H54" s="10" t="s">
        <v>437</v>
      </c>
      <c r="I54" s="24" t="s">
        <v>459</v>
      </c>
      <c r="V54" s="67"/>
    </row>
    <row r="55" spans="1:63" x14ac:dyDescent="0.25">
      <c r="A55" s="1" t="s">
        <v>415</v>
      </c>
      <c r="B55" s="47" t="s">
        <v>407</v>
      </c>
      <c r="C55" s="61" t="s">
        <v>504</v>
      </c>
      <c r="F55" s="2">
        <v>1</v>
      </c>
      <c r="G55" s="8">
        <v>1</v>
      </c>
      <c r="H55" s="10" t="s">
        <v>437</v>
      </c>
      <c r="J55" s="48" t="str">
        <f>IF(Application="Single","C-00271","C-00270")</f>
        <v>C-00271</v>
      </c>
      <c r="K55" s="48" t="str">
        <f>IF(Application="Single","C-00283","C-00282")</f>
        <v>C-00283</v>
      </c>
      <c r="L55" s="48" t="str">
        <f>IF(Application="Single","C-00275","C-00274")</f>
        <v>C-00275</v>
      </c>
      <c r="M55" s="48" t="str">
        <f>IF(Application="Single","C-00275","C-00274")</f>
        <v>C-00275</v>
      </c>
      <c r="N55" s="48" t="str">
        <f>IF(Application="Single","C-00273","C-00272")</f>
        <v>C-00273</v>
      </c>
      <c r="O55" s="48" t="str">
        <f>IF(Application="Single","C-00285","C-00284")</f>
        <v>C-00285</v>
      </c>
      <c r="P55" s="48" t="str">
        <f>IF(Application="Single","C-00277","C-00276")</f>
        <v>C-00277</v>
      </c>
      <c r="Q55" s="48" t="str">
        <f>IF(Application="Single","C-00277","C-00276")</f>
        <v>C-00277</v>
      </c>
      <c r="R55" s="48" t="str">
        <f>IF(Application="Single","C-00279","C-00278")</f>
        <v>C-00279</v>
      </c>
      <c r="S55" s="48" t="str">
        <f>IF(Application="Single","C-00280","C-00281")</f>
        <v>C-00280</v>
      </c>
      <c r="T55" s="48" t="str">
        <f>IF(Application="Single","C-00280","C-00281")</f>
        <v>C-00280</v>
      </c>
      <c r="U55" s="69"/>
      <c r="V55" s="48" t="str">
        <f>IF(Application="Single","C-00267","C-00266")</f>
        <v>C-00267</v>
      </c>
    </row>
    <row r="56" spans="1:63" x14ac:dyDescent="0.25">
      <c r="A56" s="1" t="s">
        <v>415</v>
      </c>
      <c r="B56" s="47" t="s">
        <v>407</v>
      </c>
      <c r="C56" s="61" t="s">
        <v>460</v>
      </c>
      <c r="F56" s="49">
        <f>IF(Application="Single",1,2)</f>
        <v>1</v>
      </c>
      <c r="G56" s="8">
        <v>1</v>
      </c>
      <c r="H56" s="10" t="s">
        <v>437</v>
      </c>
      <c r="I56" s="24" t="s">
        <v>463</v>
      </c>
      <c r="J56" s="31" t="s">
        <v>418</v>
      </c>
      <c r="K56" s="31" t="s">
        <v>418</v>
      </c>
      <c r="L56" s="31" t="s">
        <v>418</v>
      </c>
      <c r="M56" s="31" t="s">
        <v>418</v>
      </c>
      <c r="N56" s="31" t="s">
        <v>418</v>
      </c>
      <c r="O56" s="4" t="s">
        <v>418</v>
      </c>
      <c r="P56" s="31" t="s">
        <v>418</v>
      </c>
      <c r="Q56" s="4" t="s">
        <v>418</v>
      </c>
      <c r="R56" s="4" t="s">
        <v>418</v>
      </c>
      <c r="V56" s="4" t="s">
        <v>418</v>
      </c>
    </row>
    <row r="57" spans="1:63" x14ac:dyDescent="0.25">
      <c r="A57" s="1" t="s">
        <v>415</v>
      </c>
      <c r="B57" s="47" t="s">
        <v>407</v>
      </c>
      <c r="C57" s="61" t="s">
        <v>461</v>
      </c>
      <c r="F57" s="49">
        <f>IF(Application="Single",1,2)</f>
        <v>1</v>
      </c>
      <c r="G57" s="8">
        <v>1</v>
      </c>
      <c r="H57" s="10" t="s">
        <v>437</v>
      </c>
      <c r="I57" s="24" t="s">
        <v>464</v>
      </c>
      <c r="J57" s="31" t="s">
        <v>418</v>
      </c>
      <c r="K57" s="31" t="s">
        <v>418</v>
      </c>
      <c r="L57" s="31" t="s">
        <v>418</v>
      </c>
      <c r="M57" s="31" t="s">
        <v>418</v>
      </c>
      <c r="N57" s="31" t="s">
        <v>418</v>
      </c>
      <c r="O57" s="4" t="s">
        <v>418</v>
      </c>
      <c r="P57" s="31" t="s">
        <v>418</v>
      </c>
      <c r="Q57" s="4" t="s">
        <v>418</v>
      </c>
      <c r="R57" s="4" t="s">
        <v>418</v>
      </c>
      <c r="V57" s="4" t="s">
        <v>418</v>
      </c>
    </row>
    <row r="58" spans="1:63" s="84" customFormat="1" ht="15.75" thickBot="1" x14ac:dyDescent="0.3">
      <c r="A58" s="84" t="s">
        <v>415</v>
      </c>
      <c r="B58" s="85" t="s">
        <v>407</v>
      </c>
      <c r="C58" s="96" t="s">
        <v>462</v>
      </c>
      <c r="D58" s="86"/>
      <c r="E58" s="86"/>
      <c r="F58" s="97">
        <f>IF(Application="Single",1,2)</f>
        <v>1</v>
      </c>
      <c r="G58" s="98">
        <v>1</v>
      </c>
      <c r="H58" s="87" t="s">
        <v>437</v>
      </c>
      <c r="I58" s="88" t="s">
        <v>465</v>
      </c>
      <c r="J58" s="89" t="s">
        <v>418</v>
      </c>
      <c r="K58" s="89" t="s">
        <v>418</v>
      </c>
      <c r="L58" s="89" t="s">
        <v>418</v>
      </c>
      <c r="M58" s="89" t="s">
        <v>418</v>
      </c>
      <c r="N58" s="89" t="s">
        <v>418</v>
      </c>
      <c r="O58" s="90" t="s">
        <v>418</v>
      </c>
      <c r="P58" s="89" t="s">
        <v>418</v>
      </c>
      <c r="Q58" s="90" t="s">
        <v>418</v>
      </c>
      <c r="R58" s="90" t="s">
        <v>418</v>
      </c>
      <c r="S58" s="90"/>
      <c r="T58" s="90"/>
      <c r="U58" s="89"/>
      <c r="V58" s="90" t="s">
        <v>418</v>
      </c>
      <c r="W58" s="91"/>
      <c r="X58" s="91"/>
      <c r="Y58" s="91"/>
      <c r="Z58" s="91"/>
      <c r="AA58" s="91"/>
      <c r="AB58" s="90"/>
      <c r="AC58" s="90"/>
      <c r="AD58" s="90"/>
      <c r="AE58" s="90"/>
      <c r="AF58" s="90"/>
      <c r="AG58" s="90"/>
      <c r="AH58" s="90"/>
      <c r="AI58" s="90"/>
      <c r="AJ58" s="91"/>
      <c r="AK58" s="91"/>
      <c r="AL58" s="91"/>
      <c r="AM58" s="91"/>
      <c r="AN58" s="91"/>
      <c r="AO58" s="91"/>
      <c r="AP58" s="91"/>
      <c r="AQ58" s="91"/>
      <c r="AR58" s="91"/>
      <c r="AS58" s="90"/>
      <c r="AT58" s="90"/>
      <c r="AU58" s="90"/>
      <c r="AV58" s="90"/>
      <c r="AW58" s="90"/>
      <c r="AX58" s="90"/>
      <c r="AY58" s="90"/>
      <c r="AZ58" s="90"/>
      <c r="BA58" s="92"/>
      <c r="BB58" s="92"/>
      <c r="BC58" s="92"/>
      <c r="BD58" s="92"/>
      <c r="BG58" s="91"/>
      <c r="BH58" s="91"/>
      <c r="BI58" s="91"/>
      <c r="BJ58" s="91"/>
      <c r="BK58" s="91"/>
    </row>
    <row r="59" spans="1:63" s="70" customFormat="1" x14ac:dyDescent="0.25">
      <c r="A59" s="70" t="s">
        <v>415</v>
      </c>
      <c r="B59" s="94" t="s">
        <v>537</v>
      </c>
      <c r="C59" s="95" t="s">
        <v>538</v>
      </c>
      <c r="D59" s="73"/>
      <c r="E59" s="73"/>
      <c r="F59" s="74">
        <v>1</v>
      </c>
      <c r="G59" s="75">
        <v>1</v>
      </c>
      <c r="H59" s="76" t="s">
        <v>437</v>
      </c>
      <c r="I59" s="24"/>
      <c r="J59" s="78"/>
      <c r="K59" s="78"/>
      <c r="L59" s="78"/>
      <c r="M59" s="78"/>
      <c r="N59" s="78"/>
      <c r="O59" s="79"/>
      <c r="P59" s="78"/>
      <c r="Q59" s="79"/>
      <c r="R59" s="79"/>
      <c r="S59" s="79"/>
      <c r="T59" s="79"/>
      <c r="U59" s="78"/>
      <c r="V59" s="79"/>
      <c r="W59" s="48" t="str">
        <f>Color(LOOKUP(Model&amp;Pivot&amp;LHINvsOUT,'Lookup Tables'!H2:H105,'Lookup Tables'!W2:W105))</f>
        <v>A-60425</v>
      </c>
      <c r="X59" s="48" t="str">
        <f>Color(LOOKUP(Model&amp;Pivot&amp;LHINvsOUT,'Lookup Tables'!H2:H105,'Lookup Tables'!W2:W105))</f>
        <v>A-60425</v>
      </c>
      <c r="Y59" s="48" t="str">
        <f>Color(LOOKUP(Model&amp;Pivot&amp;LHINvsOUT,'Lookup Tables'!H2:H105,'Lookup Tables'!Y2:Y105))</f>
        <v>A-60427</v>
      </c>
      <c r="Z59" s="48" t="str">
        <f>Color(LOOKUP(Model&amp;Pivot&amp;LHINvsOUT,'Lookup Tables'!H2:H105,'Lookup Tables'!W2:W105))</f>
        <v>A-60425</v>
      </c>
      <c r="AA59" s="48" t="str">
        <f>Color(LOOKUP(Model&amp;Pivot&amp;LHINvsOUT,'Lookup Tables'!H2:H105,'Lookup Tables'!W2:W105))</f>
        <v>A-60425</v>
      </c>
      <c r="AB59" s="79"/>
      <c r="AC59" s="79"/>
      <c r="AD59" s="79"/>
      <c r="AE59" s="79"/>
      <c r="AF59" s="79"/>
      <c r="AG59" s="79"/>
      <c r="AH59" s="79"/>
      <c r="AI59" s="79"/>
      <c r="AJ59" s="80"/>
      <c r="AK59" s="80"/>
      <c r="AL59" s="80"/>
      <c r="AM59" s="80"/>
      <c r="AN59" s="80"/>
      <c r="AO59" s="80"/>
      <c r="AP59" s="80"/>
      <c r="AQ59" s="80"/>
      <c r="AR59" s="80"/>
      <c r="AS59" s="79"/>
      <c r="AT59" s="79"/>
      <c r="AU59" s="79"/>
      <c r="AV59" s="79"/>
      <c r="AW59" s="79"/>
      <c r="AX59" s="79"/>
      <c r="AY59" s="79"/>
      <c r="AZ59" s="79"/>
      <c r="BA59" s="83"/>
      <c r="BB59" s="83"/>
      <c r="BC59" s="83"/>
      <c r="BD59" s="83"/>
      <c r="BG59" s="80"/>
      <c r="BH59" s="80"/>
      <c r="BI59" s="80"/>
      <c r="BJ59" s="80"/>
      <c r="BK59" s="80"/>
    </row>
    <row r="60" spans="1:63" x14ac:dyDescent="0.25">
      <c r="A60" s="1" t="s">
        <v>415</v>
      </c>
      <c r="B60" s="93" t="s">
        <v>537</v>
      </c>
      <c r="C60" s="61" t="s">
        <v>539</v>
      </c>
      <c r="F60" s="2">
        <v>1</v>
      </c>
      <c r="G60" s="8">
        <v>1</v>
      </c>
      <c r="H60" s="10" t="s">
        <v>437</v>
      </c>
      <c r="I60" s="48" t="str">
        <f>IF(LOOKUP(Model&amp;Pivot&amp;LHINvsOUT,'Lookup Tables'!H3:H106,'Lookup Tables'!AA3:AA106)="-","S",Color(LOOKUP(Model&amp;Pivot&amp;LHINvsOUT,'Lookup Tables'!H3:H106,'Lookup Tables'!AA3:AA106)))</f>
        <v>S</v>
      </c>
      <c r="AB60" s="4" t="s">
        <v>418</v>
      </c>
      <c r="AC60" s="4" t="s">
        <v>418</v>
      </c>
      <c r="AF60" s="4" t="s">
        <v>418</v>
      </c>
      <c r="AG60" s="4" t="s">
        <v>418</v>
      </c>
    </row>
    <row r="61" spans="1:63" x14ac:dyDescent="0.25">
      <c r="A61" s="1" t="s">
        <v>415</v>
      </c>
      <c r="B61" s="93" t="s">
        <v>537</v>
      </c>
      <c r="C61" s="61" t="s">
        <v>542</v>
      </c>
      <c r="F61" s="2">
        <v>1</v>
      </c>
      <c r="G61" s="8">
        <v>1</v>
      </c>
      <c r="H61" s="10" t="s">
        <v>437</v>
      </c>
      <c r="J61" s="31" t="s">
        <v>418</v>
      </c>
      <c r="K61" s="31" t="s">
        <v>418</v>
      </c>
      <c r="L61" s="31" t="s">
        <v>418</v>
      </c>
      <c r="M61" s="31" t="s">
        <v>418</v>
      </c>
      <c r="N61" s="31" t="s">
        <v>418</v>
      </c>
      <c r="O61" s="4" t="s">
        <v>418</v>
      </c>
      <c r="P61" s="31" t="s">
        <v>418</v>
      </c>
      <c r="Q61" s="4" t="s">
        <v>418</v>
      </c>
      <c r="R61" s="4" t="s">
        <v>418</v>
      </c>
      <c r="S61" s="48" t="str">
        <f>IF(RIGHT(S60,4)="0418","M-02045","A-00952")</f>
        <v>A-00952</v>
      </c>
      <c r="T61" s="4" t="s">
        <v>418</v>
      </c>
      <c r="U61" s="31" t="s">
        <v>418</v>
      </c>
      <c r="V61" s="4" t="s">
        <v>418</v>
      </c>
      <c r="AB61" s="4" t="s">
        <v>418</v>
      </c>
      <c r="AC61" s="4" t="s">
        <v>418</v>
      </c>
      <c r="AD61" s="48" t="str">
        <f>IF(LHReveal&gt;0,"","S")</f>
        <v>S</v>
      </c>
      <c r="AE61" s="48" t="str">
        <f>IF(LHReveal&gt;0,"","S")</f>
        <v>S</v>
      </c>
      <c r="AF61" s="4" t="s">
        <v>418</v>
      </c>
      <c r="AG61" s="4" t="s">
        <v>418</v>
      </c>
      <c r="AH61" s="48" t="str">
        <f>IF(LHReveal&gt;0,"","S")</f>
        <v>S</v>
      </c>
      <c r="AI61" s="48" t="str">
        <f>IF(LHReveal&gt;0,"","S")</f>
        <v>S</v>
      </c>
    </row>
    <row r="62" spans="1:63" x14ac:dyDescent="0.25">
      <c r="A62" s="1" t="s">
        <v>415</v>
      </c>
      <c r="B62" s="93" t="s">
        <v>537</v>
      </c>
      <c r="C62" s="61" t="s">
        <v>540</v>
      </c>
      <c r="F62" s="2">
        <v>1</v>
      </c>
      <c r="G62" s="8">
        <v>1</v>
      </c>
      <c r="H62" s="10" t="s">
        <v>437</v>
      </c>
      <c r="W62" s="3" t="s">
        <v>418</v>
      </c>
      <c r="X62" s="48" t="str">
        <f>Color(LOOKUP(Model&amp;Pivot&amp;RHINvsOUT,'Lookup Tables'!H2:H105,'Lookup Tables'!V2:V105))</f>
        <v>A-60545</v>
      </c>
      <c r="Y62" s="48" t="str">
        <f>Color(LOOKUP(Model&amp;Pivot&amp;RHINvsOUT,'Lookup Tables'!H2:H105,'Lookup Tables'!X2:X105))</f>
        <v>A-60658</v>
      </c>
      <c r="Z62" s="48" t="str">
        <f>Color(LOOKUP(Model&amp;Pivot&amp;RHINvsOUT,'Lookup Tables'!H2:H105,'Lookup Tables'!V2:V105))</f>
        <v>A-60545</v>
      </c>
      <c r="AA62" s="48" t="str">
        <f>Color(LOOKUP(Model&amp;Pivot&amp;RHINvsOUT,'Lookup Tables'!H2:H105,'Lookup Tables'!V2:V105))</f>
        <v>A-60545</v>
      </c>
      <c r="AJ62" s="3" t="s">
        <v>418</v>
      </c>
    </row>
    <row r="63" spans="1:63" x14ac:dyDescent="0.25">
      <c r="A63" s="1" t="s">
        <v>415</v>
      </c>
      <c r="B63" s="93" t="s">
        <v>537</v>
      </c>
      <c r="C63" s="61" t="s">
        <v>541</v>
      </c>
      <c r="F63" s="2">
        <v>1</v>
      </c>
      <c r="G63" s="8">
        <v>1</v>
      </c>
      <c r="H63" s="10" t="s">
        <v>437</v>
      </c>
      <c r="I63" s="48" t="str">
        <f>IF(LOOKUP(Model&amp;Pivot&amp;LHINvsOUT,'Lookup Tables'!H3:H106,'Lookup Tables'!Z3:Z106)="-","S",Color(LOOKUP(Model&amp;Pivot&amp;RHINvsOUT,'Lookup Tables'!H6:H109,'Lookup Tables'!Z6:Z109)))</f>
        <v>S</v>
      </c>
      <c r="W63" s="3" t="s">
        <v>418</v>
      </c>
      <c r="AJ63" s="3" t="s">
        <v>418</v>
      </c>
      <c r="AK63" s="3" t="s">
        <v>418</v>
      </c>
      <c r="AL63" s="3" t="s">
        <v>418</v>
      </c>
      <c r="AO63" s="3" t="s">
        <v>418</v>
      </c>
      <c r="AP63" s="3" t="s">
        <v>418</v>
      </c>
    </row>
    <row r="64" spans="1:63" x14ac:dyDescent="0.25">
      <c r="A64" s="1" t="s">
        <v>415</v>
      </c>
      <c r="B64" s="93" t="s">
        <v>537</v>
      </c>
      <c r="C64" s="61" t="s">
        <v>543</v>
      </c>
      <c r="F64" s="2">
        <v>1</v>
      </c>
      <c r="G64" s="8">
        <v>1</v>
      </c>
      <c r="H64" s="10" t="s">
        <v>437</v>
      </c>
      <c r="J64" s="31" t="s">
        <v>418</v>
      </c>
      <c r="K64" s="31" t="s">
        <v>418</v>
      </c>
      <c r="L64" s="31" t="s">
        <v>418</v>
      </c>
      <c r="M64" s="31" t="s">
        <v>418</v>
      </c>
      <c r="N64" s="31" t="s">
        <v>418</v>
      </c>
      <c r="O64" s="4" t="s">
        <v>418</v>
      </c>
      <c r="P64" s="31" t="s">
        <v>418</v>
      </c>
      <c r="Q64" s="4" t="s">
        <v>418</v>
      </c>
      <c r="R64" s="4" t="s">
        <v>418</v>
      </c>
      <c r="S64" s="48" t="str">
        <f>IF(RIGHT(S63,4)="0418","M-02045","A-00952")</f>
        <v>A-00952</v>
      </c>
      <c r="T64" s="4" t="s">
        <v>418</v>
      </c>
      <c r="U64" s="31" t="s">
        <v>418</v>
      </c>
      <c r="V64" s="4" t="s">
        <v>418</v>
      </c>
      <c r="W64" s="3" t="s">
        <v>418</v>
      </c>
      <c r="AJ64" s="3" t="s">
        <v>418</v>
      </c>
      <c r="AK64" s="3" t="s">
        <v>418</v>
      </c>
      <c r="AL64" s="3" t="s">
        <v>418</v>
      </c>
      <c r="AM64" s="48" t="str">
        <f>IF(RHReveal&gt;0,"","S")</f>
        <v>S</v>
      </c>
      <c r="AN64" s="48" t="str">
        <f>IF(RHReveal&gt;0,"","S")</f>
        <v>S</v>
      </c>
      <c r="AO64" s="3" t="s">
        <v>418</v>
      </c>
      <c r="AP64" s="3" t="s">
        <v>418</v>
      </c>
      <c r="AQ64" s="48" t="str">
        <f>IF(RHReveal&gt;0,"","S")</f>
        <v>S</v>
      </c>
      <c r="AR64" s="48" t="str">
        <f>IF(RHReveal&gt;0,"","S")</f>
        <v>S</v>
      </c>
    </row>
  </sheetData>
  <mergeCells count="17">
    <mergeCell ref="BG3:BK3"/>
    <mergeCell ref="BG1:BK1"/>
    <mergeCell ref="A3:F3"/>
    <mergeCell ref="BE1:BF1"/>
    <mergeCell ref="AS1:AZ1"/>
    <mergeCell ref="AS3:AZ3"/>
    <mergeCell ref="W3:AA3"/>
    <mergeCell ref="W1:AA1"/>
    <mergeCell ref="AB3:AI3"/>
    <mergeCell ref="AB1:AI1"/>
    <mergeCell ref="AJ3:AR3"/>
    <mergeCell ref="AJ1:AR1"/>
    <mergeCell ref="J3:V3"/>
    <mergeCell ref="J1:V1"/>
    <mergeCell ref="BE3:BF3"/>
    <mergeCell ref="BA1:BD1"/>
    <mergeCell ref="BA3:BD3"/>
  </mergeCells>
  <conditionalFormatting sqref="A2 A4 A13:A14 A17 A35 A21:A23 A40:A41 A43 A37 A6:A9 A45:A47 A65:A1048576 A50:A63">
    <cfRule type="cellIs" dxfId="45" priority="2315" operator="equal">
      <formula>"Parts"</formula>
    </cfRule>
    <cfRule type="cellIs" dxfId="44" priority="2316" operator="equal">
      <formula>"Extru"</formula>
    </cfRule>
  </conditionalFormatting>
  <conditionalFormatting sqref="A5">
    <cfRule type="cellIs" dxfId="43" priority="63" operator="equal">
      <formula>"Parts"</formula>
    </cfRule>
    <cfRule type="cellIs" dxfId="42" priority="64" operator="equal">
      <formula>"Extru"</formula>
    </cfRule>
  </conditionalFormatting>
  <conditionalFormatting sqref="A10">
    <cfRule type="cellIs" dxfId="41" priority="59" operator="equal">
      <formula>"Parts"</formula>
    </cfRule>
    <cfRule type="cellIs" dxfId="40" priority="60" operator="equal">
      <formula>"Extru"</formula>
    </cfRule>
  </conditionalFormatting>
  <conditionalFormatting sqref="A11">
    <cfRule type="cellIs" dxfId="39" priority="57" operator="equal">
      <formula>"Parts"</formula>
    </cfRule>
    <cfRule type="cellIs" dxfId="38" priority="58" operator="equal">
      <formula>"Extru"</formula>
    </cfRule>
  </conditionalFormatting>
  <conditionalFormatting sqref="A38">
    <cfRule type="cellIs" dxfId="37" priority="55" operator="equal">
      <formula>"Parts"</formula>
    </cfRule>
    <cfRule type="cellIs" dxfId="36" priority="56" operator="equal">
      <formula>"Extru"</formula>
    </cfRule>
  </conditionalFormatting>
  <conditionalFormatting sqref="A15">
    <cfRule type="cellIs" dxfId="35" priority="53" operator="equal">
      <formula>"Parts"</formula>
    </cfRule>
    <cfRule type="cellIs" dxfId="34" priority="54" operator="equal">
      <formula>"Extru"</formula>
    </cfRule>
  </conditionalFormatting>
  <conditionalFormatting sqref="A16">
    <cfRule type="cellIs" dxfId="33" priority="51" operator="equal">
      <formula>"Parts"</formula>
    </cfRule>
    <cfRule type="cellIs" dxfId="32" priority="52" operator="equal">
      <formula>"Extru"</formula>
    </cfRule>
  </conditionalFormatting>
  <conditionalFormatting sqref="A27">
    <cfRule type="cellIs" dxfId="31" priority="49" operator="equal">
      <formula>"Parts"</formula>
    </cfRule>
    <cfRule type="cellIs" dxfId="30" priority="50" operator="equal">
      <formula>"Extru"</formula>
    </cfRule>
  </conditionalFormatting>
  <conditionalFormatting sqref="A28">
    <cfRule type="cellIs" dxfId="29" priority="47" operator="equal">
      <formula>"Parts"</formula>
    </cfRule>
    <cfRule type="cellIs" dxfId="28" priority="48" operator="equal">
      <formula>"Extru"</formula>
    </cfRule>
  </conditionalFormatting>
  <conditionalFormatting sqref="A18">
    <cfRule type="cellIs" dxfId="27" priority="45" operator="equal">
      <formula>"Parts"</formula>
    </cfRule>
    <cfRule type="cellIs" dxfId="26" priority="46" operator="equal">
      <formula>"Extru"</formula>
    </cfRule>
  </conditionalFormatting>
  <conditionalFormatting sqref="A19">
    <cfRule type="cellIs" dxfId="25" priority="43" operator="equal">
      <formula>"Parts"</formula>
    </cfRule>
    <cfRule type="cellIs" dxfId="24" priority="44" operator="equal">
      <formula>"Extru"</formula>
    </cfRule>
  </conditionalFormatting>
  <conditionalFormatting sqref="A29:A31 A33:A34">
    <cfRule type="cellIs" dxfId="23" priority="41" operator="equal">
      <formula>"Parts"</formula>
    </cfRule>
    <cfRule type="cellIs" dxfId="22" priority="42" operator="equal">
      <formula>"Extru"</formula>
    </cfRule>
  </conditionalFormatting>
  <conditionalFormatting sqref="A20">
    <cfRule type="cellIs" dxfId="21" priority="39" operator="equal">
      <formula>"Parts"</formula>
    </cfRule>
    <cfRule type="cellIs" dxfId="20" priority="40" operator="equal">
      <formula>"Extru"</formula>
    </cfRule>
  </conditionalFormatting>
  <conditionalFormatting sqref="A42">
    <cfRule type="cellIs" dxfId="19" priority="37" operator="equal">
      <formula>"Parts"</formula>
    </cfRule>
    <cfRule type="cellIs" dxfId="18" priority="38" operator="equal">
      <formula>"Extru"</formula>
    </cfRule>
  </conditionalFormatting>
  <conditionalFormatting sqref="A24">
    <cfRule type="cellIs" dxfId="17" priority="35" operator="equal">
      <formula>"Parts"</formula>
    </cfRule>
    <cfRule type="cellIs" dxfId="16" priority="36" operator="equal">
      <formula>"Extru"</formula>
    </cfRule>
  </conditionalFormatting>
  <conditionalFormatting sqref="A39">
    <cfRule type="cellIs" dxfId="15" priority="33" operator="equal">
      <formula>"Parts"</formula>
    </cfRule>
    <cfRule type="cellIs" dxfId="14" priority="34" operator="equal">
      <formula>"Extru"</formula>
    </cfRule>
  </conditionalFormatting>
  <conditionalFormatting sqref="A25:A26">
    <cfRule type="cellIs" dxfId="13" priority="31" operator="equal">
      <formula>"Parts"</formula>
    </cfRule>
    <cfRule type="cellIs" dxfId="12" priority="32" operator="equal">
      <formula>"Extru"</formula>
    </cfRule>
  </conditionalFormatting>
  <conditionalFormatting sqref="A44">
    <cfRule type="cellIs" dxfId="11" priority="27" operator="equal">
      <formula>"Parts"</formula>
    </cfRule>
    <cfRule type="cellIs" dxfId="10" priority="28" operator="equal">
      <formula>"Extru"</formula>
    </cfRule>
  </conditionalFormatting>
  <conditionalFormatting sqref="A36">
    <cfRule type="cellIs" dxfId="9" priority="25" operator="equal">
      <formula>"Parts"</formula>
    </cfRule>
    <cfRule type="cellIs" dxfId="8" priority="26" operator="equal">
      <formula>"Extru"</formula>
    </cfRule>
  </conditionalFormatting>
  <conditionalFormatting sqref="A64">
    <cfRule type="cellIs" dxfId="7" priority="9" operator="equal">
      <formula>"Parts"</formula>
    </cfRule>
    <cfRule type="cellIs" dxfId="6" priority="10" operator="equal">
      <formula>"Extru"</formula>
    </cfRule>
  </conditionalFormatting>
  <conditionalFormatting sqref="A32">
    <cfRule type="cellIs" dxfId="5" priority="7" operator="equal">
      <formula>"Parts"</formula>
    </cfRule>
    <cfRule type="cellIs" dxfId="4" priority="8" operator="equal">
      <formula>"Extru"</formula>
    </cfRule>
  </conditionalFormatting>
  <conditionalFormatting sqref="A48:A49">
    <cfRule type="cellIs" dxfId="3" priority="5" operator="equal">
      <formula>"Parts"</formula>
    </cfRule>
    <cfRule type="cellIs" dxfId="2" priority="6" operator="equal">
      <formula>"Extru"</formula>
    </cfRule>
  </conditionalFormatting>
  <conditionalFormatting sqref="A12">
    <cfRule type="cellIs" dxfId="1" priority="3" operator="equal">
      <formula>"Parts"</formula>
    </cfRule>
    <cfRule type="cellIs" dxfId="0" priority="4" operator="equal">
      <formula>"Extru"</formula>
    </cfRule>
  </conditionalFormatting>
  <pageMargins left="0" right="0" top="0" bottom="0" header="0.3" footer="0.3"/>
  <pageSetup paperSize="17" scale="38" fitToWidth="3" fitToHeight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9090-3997-43A1-A753-DA5F9D458CF8}">
  <sheetPr codeName="Sheet3"/>
  <dimension ref="A1"/>
  <sheetViews>
    <sheetView workbookViewId="0">
      <selection activeCell="J25" sqref="J25"/>
    </sheetView>
  </sheetViews>
  <sheetFormatPr defaultRowHeight="15" x14ac:dyDescent="0.25"/>
  <cols>
    <col min="5" max="5" width="14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Inputs</vt:lpstr>
      <vt:lpstr>Lookup Tables</vt:lpstr>
      <vt:lpstr>Extrusion Colors</vt:lpstr>
      <vt:lpstr>Logic Table</vt:lpstr>
      <vt:lpstr>BOM</vt:lpstr>
      <vt:lpstr>Application</vt:lpstr>
      <vt:lpstr>BOMNeeded</vt:lpstr>
      <vt:lpstr>CenterDivider</vt:lpstr>
      <vt:lpstr>CUvsOHC</vt:lpstr>
      <vt:lpstr>DistributorName</vt:lpstr>
      <vt:lpstr>EntryDate</vt:lpstr>
      <vt:lpstr>FertNumber</vt:lpstr>
      <vt:lpstr>FingerGuard</vt:lpstr>
      <vt:lpstr>Finish</vt:lpstr>
      <vt:lpstr>FinishCode</vt:lpstr>
      <vt:lpstr>HeaderLength</vt:lpstr>
      <vt:lpstr>ItemNumber</vt:lpstr>
      <vt:lpstr>JobName</vt:lpstr>
      <vt:lpstr>LHDoorOpening</vt:lpstr>
      <vt:lpstr>LHHand</vt:lpstr>
      <vt:lpstr>LHINvsOUT</vt:lpstr>
      <vt:lpstr>LHOverlap</vt:lpstr>
      <vt:lpstr>LHPanel</vt:lpstr>
      <vt:lpstr>LHReveal</vt:lpstr>
      <vt:lpstr>Model</vt:lpstr>
      <vt:lpstr>MtgBracket</vt:lpstr>
      <vt:lpstr>Operator</vt:lpstr>
      <vt:lpstr>Panic</vt:lpstr>
      <vt:lpstr>Pivot</vt:lpstr>
      <vt:lpstr>QuantityOfUnits</vt:lpstr>
      <vt:lpstr>RHDoorOpening</vt:lpstr>
      <vt:lpstr>RHHand</vt:lpstr>
      <vt:lpstr>RHINvsOUT</vt:lpstr>
      <vt:lpstr>RHOverlap</vt:lpstr>
      <vt:lpstr>RHPanel</vt:lpstr>
      <vt:lpstr>RHReveal</vt:lpstr>
      <vt:lpstr>SalesOrderNumber</vt:lpstr>
      <vt:lpstr>SidevsBottom</vt:lpstr>
      <vt:lpstr>StackedBoards</vt:lpstr>
      <vt:lpstr>UnitIdentification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Hausler</dc:creator>
  <cp:lastModifiedBy>Brett Hausler</cp:lastModifiedBy>
  <cp:lastPrinted>2019-03-26T16:11:59Z</cp:lastPrinted>
  <dcterms:created xsi:type="dcterms:W3CDTF">2018-07-02T20:07:12Z</dcterms:created>
  <dcterms:modified xsi:type="dcterms:W3CDTF">2020-01-24T16:19:19Z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Number">
    <vt:lpwstr>
    </vt:lpwstr>
  </property>
  <property fmtid="{D5CDD505-2E9C-101B-9397-08002B2CF9AE}" pid="3" name="CUSTOMER">
    <vt:lpwstr> </vt:lpwstr>
  </property>
</Properties>
</file>